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445090104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8068e519744607"/>
    <x:sheet xmlns:r="http://schemas.openxmlformats.org/officeDocument/2006/relationships" name="Checklist_Master" sheetId="2" r:id="Rf88ebd8317854db0"/>
    <x:sheet xmlns:r="http://schemas.openxmlformats.org/officeDocument/2006/relationships" name="Event_Master" sheetId="3" r:id="R1da5de0b87b2411b"/>
    <x:sheet xmlns:r="http://schemas.openxmlformats.org/officeDocument/2006/relationships" name="Scenario_Master" sheetId="4" r:id="Rf88bef7bf4d64f61"/>
    <x:sheet xmlns:r="http://schemas.openxmlformats.org/officeDocument/2006/relationships" name="Rundown" sheetId="5" r:id="R0cecd0493cec48d8"/>
    <x:sheet xmlns:r="http://schemas.openxmlformats.org/officeDocument/2006/relationships" name="Accommodation" sheetId="6" r:id="R5b86e1d1363a4625"/>
    <x:sheet xmlns:r="http://schemas.openxmlformats.org/officeDocument/2006/relationships" name="LO_Assignment" sheetId="7" r:id="Rd4ea145ee09b416c"/>
    <x:sheet xmlns:r="http://schemas.openxmlformats.org/officeDocument/2006/relationships" name="Committee_Master" sheetId="8" r:id="R5e72abd328fd4414"/>
    <x:sheet xmlns:r="http://schemas.openxmlformats.org/officeDocument/2006/relationships" name="People_Master" sheetId="9" r:id="R7ea1097096db4f3b"/>
    <x:sheet xmlns:r="http://schemas.openxmlformats.org/officeDocument/2006/relationships" name="EO_Scope" sheetId="10" r:id="Rc4e9dd636a1d4785"/>
    <x:sheet xmlns:r="http://schemas.openxmlformats.org/officeDocument/2006/relationships" name="Issues_Decisions" sheetId="11" r:id="Rc7c98cf23e3c471b"/>
    <x:sheet xmlns:r="http://schemas.openxmlformats.org/officeDocument/2006/relationships" name="Document_Register" sheetId="12" r:id="R5f6e2ee3b1c749d3"/>
    <x:sheet xmlns:r="http://schemas.openxmlformats.org/officeDocument/2006/relationships" name="User_Access" sheetId="13" r:id="R9eeaaac0415d4ed8"/>
    <x:sheet xmlns:r="http://schemas.openxmlformats.org/officeDocument/2006/relationships" name="Lists_Settings" sheetId="14" r:id="Rc94683a0c4394e20"/>
    <x:sheet xmlns:r="http://schemas.openxmlformats.org/officeDocument/2006/relationships" name="Task_Update_Log" sheetId="15" r:id="R7ebeaff2b72d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 mmm yyyy"/>
    <x:numFmt numFmtId="201" formatCode="dd mmm yyyy hh:mm"/>
    <x:numFmt numFmtId="202" formatCode="0&quot;%&quot;"/>
    <x:numFmt numFmtId="203" formatCode="0"/>
    <x:numFmt numFmtId="204" formatCode="ddd, dd mmm yyyy"/>
    <x:numFmt numFmtId="205" formatCode="0%"/>
    <x:numFmt numFmtId="206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i/>
      <x:sz val="11"/>
      <x:color rgb="FF496579"/>
      <x:name val="Carlito"/>
    </x:font>
    <x:font>
      <x:b/>
      <x:sz val="22"/>
      <x:color rgb="FF0B3A53"/>
      <x:name val="Carlito"/>
    </x:font>
    <x:font>
      <x:b/>
      <x:sz val="11"/>
      <x:name val="Carlito"/>
    </x:font>
    <x:font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0F5B78"/>
      </x:patternFill>
    </x:fill>
    <x:fill>
      <x:patternFill patternType="solid">
        <x:fgColor rgb="FFEAF4F8"/>
      </x:patternFill>
    </x:fill>
    <x:fill>
      <x:patternFill patternType="solid">
        <x:fgColor rgb="FFDCEAF2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8FAFC"/>
      </x:patternFill>
    </x:fill>
  </x:fills>
  <x:borders count="4">
    <x:border/>
    <x:border/>
    <x:border>
      <x:bottom style="thin">
        <x:color rgb="FFC8D5DF"/>
      </x:bottom>
    </x:border>
    <x:border>
      <x:bottom style="thin">
        <x:color rgb="FFC8D5DF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5" fontId="5" fillId="6" borderId="0" xfId="0" applyNumberFormat="1" applyFont="1" applyFill="1" applyBorder="1" applyAlignment="1">
      <x:alignment horizontal="center" vertical="center"/>
    </x:xf>
    <x:xf numFmtId="205" fontId="5" fillId="6" borderId="1" xfId="0" applyNumberFormat="1" applyFont="1" applyFill="1" applyBorder="1" applyAlignment="1">
      <x:alignment horizontal="center" vertical="center"/>
    </x:xf>
    <x:xf numFmtId="206" fontId="5" fillId="6" borderId="0" xfId="0" applyNumberFormat="1" applyFont="1" applyFill="1" applyBorder="1" applyAlignment="1">
      <x:alignment horizontal="center" vertical="center"/>
    </x:xf>
    <x:xf numFmtId="206" fontId="5" fillId="6" borderId="1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right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82a594b044761" /><Relationship Type="http://schemas.openxmlformats.org/officeDocument/2006/relationships/theme" Target="/xl/theme/theme1.xml" Id="R342ef1aaf9864b89" /><Relationship Type="http://schemas.openxmlformats.org/officeDocument/2006/relationships/sharedStrings" Target="/xl/sharedStrings.xml" Id="R8be7064275cd4f57" /><Relationship Type="http://schemas.openxmlformats.org/officeDocument/2006/relationships/worksheet" Target="/xl/worksheets/sheet1.xml" Id="R888068e519744607" /><Relationship Type="http://schemas.openxmlformats.org/officeDocument/2006/relationships/worksheet" Target="/xl/worksheets/sheet2.xml" Id="Rf88ebd8317854db0" /><Relationship Type="http://schemas.openxmlformats.org/officeDocument/2006/relationships/worksheet" Target="/xl/worksheets/sheet3.xml" Id="R1da5de0b87b2411b" /><Relationship Type="http://schemas.openxmlformats.org/officeDocument/2006/relationships/worksheet" Target="/xl/worksheets/sheet4.xml" Id="Rf88bef7bf4d64f61" /><Relationship Type="http://schemas.openxmlformats.org/officeDocument/2006/relationships/worksheet" Target="/xl/worksheets/sheet5.xml" Id="R0cecd0493cec48d8" /><Relationship Type="http://schemas.openxmlformats.org/officeDocument/2006/relationships/worksheet" Target="/xl/worksheets/sheet6.xml" Id="R5b86e1d1363a4625" /><Relationship Type="http://schemas.openxmlformats.org/officeDocument/2006/relationships/worksheet" Target="/xl/worksheets/sheet7.xml" Id="Rd4ea145ee09b416c" /><Relationship Type="http://schemas.openxmlformats.org/officeDocument/2006/relationships/worksheet" Target="/xl/worksheets/sheet8.xml" Id="R5e72abd328fd4414" /><Relationship Type="http://schemas.openxmlformats.org/officeDocument/2006/relationships/worksheet" Target="/xl/worksheets/sheet9.xml" Id="R7ea1097096db4f3b" /><Relationship Type="http://schemas.openxmlformats.org/officeDocument/2006/relationships/worksheet" Target="/xl/worksheets/sheet10.xml" Id="Rc4e9dd636a1d4785" /><Relationship Type="http://schemas.openxmlformats.org/officeDocument/2006/relationships/worksheet" Target="/xl/worksheets/sheet11.xml" Id="Rc7c98cf23e3c471b" /><Relationship Type="http://schemas.openxmlformats.org/officeDocument/2006/relationships/worksheet" Target="/xl/worksheets/sheet12.xml" Id="R5f6e2ee3b1c749d3" /><Relationship Type="http://schemas.openxmlformats.org/officeDocument/2006/relationships/worksheet" Target="/xl/worksheets/sheet13.xml" Id="R9eeaaac0415d4ed8" /><Relationship Type="http://schemas.openxmlformats.org/officeDocument/2006/relationships/worksheet" Target="/xl/worksheets/sheet14.xml" Id="Rc94683a0c4394e20" /><Relationship Type="http://schemas.openxmlformats.org/officeDocument/2006/relationships/worksheet" Target="/xl/worksheets/sheet15.xml" Id="R7ebeaff2b72d458d" /></Relationships>
</file>

<file path=xl/tables/table1.xml><?xml version="1.0" encoding="utf-8"?>
<x:table xmlns:x="http://schemas.openxmlformats.org/spreadsheetml/2006/main" id="1" name="ChecklistTable" displayName="ChecklistTable" ref="A1:AD192" headerRowCount="1">
  <x:tableColumns count="30">
    <x:tableColumn id="1" name="Task ID"/>
    <x:tableColumn id="2" name="Event ID"/>
    <x:tableColumn id="3" name="Venue"/>
    <x:tableColumn id="4" name="Workstream"/>
    <x:tableColumn id="5" name="Checklist Item"/>
    <x:tableColumn id="6" name="Acceptance Criteria"/>
    <x:tableColumn id="7" name="Scope Owner"/>
    <x:tableColumn id="8" name="Bidang"/>
    <x:tableColumn id="9" name="PIC"/>
    <x:tableColumn id="10" name="Priority"/>
    <x:tableColumn id="11" name="Planned Start"/>
    <x:tableColumn id="12" name="Deadline"/>
    <x:tableColumn id="13" name="Status"/>
    <x:tableColumn id="14" name="Progress %"/>
    <x:tableColumn id="15" name="Readiness"/>
    <x:tableColumn id="16" name="Blocker"/>
    <x:tableColumn id="17" name="Next Action"/>
    <x:tableColumn id="18" name="Updated By"/>
    <x:tableColumn id="19" name="Update Source"/>
    <x:tableColumn id="20" name="Last Updated"/>
    <x:tableColumn id="21" name="Evidence Link"/>
    <x:tableColumn id="22" name="Verification"/>
    <x:tableColumn id="23" name="Verified By"/>
    <x:tableColumn id="24" name="Notes"/>
    <x:tableColumn id="25" name="Publish to PWA"/>
    <x:tableColumn id="26" name="Scenario"/>
    <x:tableColumn id="27" name="Days to Deadline"/>
    <x:tableColumn id="28" name="Overdue Flag"/>
    <x:tableColumn id="29" name="Weight"/>
    <x:tableColumn id="30" name="Weighted Progress"/>
  </x:tableColumns>
  <x:tableStyleInfo name="TableStyleMedium2" showRowStripes="1"/>
</x:table>
</file>

<file path=xl/tables/table2.xml><?xml version="1.0" encoding="utf-8"?>
<x:table xmlns:x="http://schemas.openxmlformats.org/spreadsheetml/2006/main" id="2" name="EventMasterTable" displayName="EventMasterTable" ref="A1:H11" headerRowCount="1">
  <x:tableColumns count="8">
    <x:tableColumn id="1" name="Event ID"/>
    <x:tableColumn id="2" name="Event Name"/>
    <x:tableColumn id="3" name="Venue"/>
    <x:tableColumn id="4" name="Start Date"/>
    <x:tableColumn id="5" name="End Date"/>
    <x:tableColumn id="6" name="Participant / Capacity"/>
    <x:tableColumn id="7" name="Statu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cenarioTable" displayName="ScenarioTable" ref="A1:F5" headerRowCount="1">
  <x:tableColumns count="6">
    <x:tableColumn id="1" name="Scenario"/>
    <x:tableColumn id="2" name="Name"/>
    <x:tableColumn id="3" name="Description"/>
    <x:tableColumn id="4" name="Status"/>
    <x:tableColumn id="5" name="Active?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undownTable" displayName="RundownTable" ref="A1:M71" headerRowCount="1">
  <x:tableColumns count="13">
    <x:tableColumn id="1" name="Rundown ID"/>
    <x:tableColumn id="2" name="Scenario"/>
    <x:tableColumn id="3" name="Event ID"/>
    <x:tableColumn id="4" name="Audience"/>
    <x:tableColumn id="5" name="Date"/>
    <x:tableColumn id="6" name="Start"/>
    <x:tableColumn id="7" name="End"/>
    <x:tableColumn id="8" name="Activity"/>
    <x:tableColumn id="9" name="Venue"/>
    <x:tableColumn id="10" name="PIC"/>
    <x:tableColumn id="11" name="Status"/>
    <x:tableColumn id="12" name="Publish to PWA"/>
    <x:tableColumn id="13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AccommodationTable" displayName="AccommodationTable" ref="A1:Q205" headerRowCount="1">
  <x:tableColumns count="17">
    <x:tableColumn id="1" name="Accommodation ID"/>
    <x:tableColumn id="2" name="Guest"/>
    <x:tableColumn id="3" name="Position"/>
    <x:tableColumn id="4" name="Company"/>
    <x:tableColumn id="5" name="Accommodation Type"/>
    <x:tableColumn id="6" name="Accommodation"/>
    <x:tableColumn id="7" name="Room No."/>
    <x:tableColumn id="8" name="Bathroom"/>
    <x:tableColumn id="9" name="Bed / Room Type"/>
    <x:tableColumn id="10" name="Condition"/>
    <x:tableColumn id="11" name="Source Readiness / Notes"/>
    <x:tableColumn id="12" name="Readiness Category"/>
    <x:tableColumn id="13" name="House Type"/>
    <x:tableColumn id="14" name="Remarks"/>
    <x:tableColumn id="15" name="Allocation Status"/>
    <x:tableColumn id="16" name="Publish Allocation?"/>
    <x:tableColumn id="1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LOAssignmentTable" displayName="LOAssignmentTable" ref="A1:M55" headerRowCount="1">
  <x:tableColumns count="13">
    <x:tableColumn id="1" name="LO ID"/>
    <x:tableColumn id="2" name="Company / Institution"/>
    <x:tableColumn id="3" name="VIP Category"/>
    <x:tableColumn id="4" name="Assigned LO"/>
    <x:tableColumn id="5" name="Badge / Employee No."/>
    <x:tableColumn id="6" name="Phone"/>
    <x:tableColumn id="7" name="Arrival"/>
    <x:tableColumn id="8" name="Departure"/>
    <x:tableColumn id="9" name="Accommodation"/>
    <x:tableColumn id="10" name="Location Note"/>
    <x:tableColumn id="11" name="Status"/>
    <x:tableColumn id="12" name="Publish to PWA"/>
    <x:tableColumn id="13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ommitteeTable" displayName="CommitteeTable" ref="A1:H75" headerRowCount="1">
  <x:tableColumns count="8">
    <x:tableColumn id="1" name="Committee ID"/>
    <x:tableColumn id="2" name="Program"/>
    <x:tableColumn id="3" name="Bidang"/>
    <x:tableColumn id="4" name="Role"/>
    <x:tableColumn id="5" name="Name"/>
    <x:tableColumn id="6" name="Employee No."/>
    <x:tableColumn id="7" name="Active?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eopleMasterTable" displayName="PeopleMasterTable" ref="A1:H191" headerRowCount="1">
  <x:tableColumns count="8">
    <x:tableColumn id="1" name="Person ID"/>
    <x:tableColumn id="2" name="Name"/>
    <x:tableColumn id="3" name="Organization"/>
    <x:tableColumn id="4" name="Primary Role / Roles"/>
    <x:tableColumn id="5" name="Employee / Badge No."/>
    <x:tableColumn id="6" name="Source"/>
    <x:tableColumn id="7" name="Active?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EOScopeTable" displayName="EOScopeTable" ref="A1:I9" headerRowCount="1">
  <x:tableColumns count="9">
    <x:tableColumn id="1" name="EO Scope ID"/>
    <x:tableColumn id="2" name="Event"/>
    <x:tableColumn id="3" name="Deliverable"/>
    <x:tableColumn id="4" name="Scope Owner"/>
    <x:tableColumn id="5" name="Counterpart / Approver"/>
    <x:tableColumn id="6" name="Status"/>
    <x:tableColumn id="7" name="Notes"/>
    <x:tableColumn id="8" name="Verification"/>
    <x:tableColumn id="9" name="Evidence Link"/>
  </x:tableColumns>
  <x:tableStyleInfo name="TableStyleMedium2" showRowStripes="1"/>
</x:table>
</file>

<file path=xl/tables/table10.xml><?xml version="1.0" encoding="utf-8"?>
<x:table xmlns:x="http://schemas.openxmlformats.org/spreadsheetml/2006/main" id="10" name="IssuesTable" displayName="IssuesTable" ref="A1:K9" headerRowCount="1">
  <x:tableColumns count="11">
    <x:tableColumn id="1" name="Issue ID"/>
    <x:tableColumn id="2" name="Priority"/>
    <x:tableColumn id="3" name="Category"/>
    <x:tableColumn id="4" name="Issue / Decision Required"/>
    <x:tableColumn id="5" name="Decision Owner"/>
    <x:tableColumn id="6" name="Action Owner"/>
    <x:tableColumn id="7" name="Due Date"/>
    <x:tableColumn id="8" name="Status"/>
    <x:tableColumn id="9" name="Impact"/>
    <x:tableColumn id="10" name="Required Action / Decision"/>
    <x:tableColumn id="11" name="Publish to PWA"/>
  </x:tableColumns>
  <x:tableStyleInfo name="TableStyleMedium2" showRowStripes="1"/>
</x:table>
</file>

<file path=xl/tables/table11.xml><?xml version="1.0" encoding="utf-8"?>
<x:table xmlns:x="http://schemas.openxmlformats.org/spreadsheetml/2006/main" id="11" name="DocumentRegisterTable" displayName="DocumentRegisterTable" ref="A1:H7" headerRowCount="1">
  <x:tableColumns count="8">
    <x:tableColumn id="1" name="Document ID"/>
    <x:tableColumn id="2" name="Document Name"/>
    <x:tableColumn id="3" name="File Name"/>
    <x:tableColumn id="4" name="Category"/>
    <x:tableColumn id="5" name="Status"/>
    <x:tableColumn id="6" name="Drive Link / Action"/>
    <x:tableColumn id="7" name="Publish to PWA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UserAccessTable" displayName="UserAccessTable" ref="A1:G5" headerRowCount="1">
  <x:tableColumns count="7">
    <x:tableColumn id="1" name="User ID"/>
    <x:tableColumn id="2" name="Email"/>
    <x:tableColumn id="3" name="Name"/>
    <x:tableColumn id="4" name="Role"/>
    <x:tableColumn id="5" name="Scope"/>
    <x:tableColumn id="6" name="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2ee9ddd02f4e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d2cb8b76ab42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71d6fde10440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f3cc2185e746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97e05ac21347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758a4aea2d40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be3d6b38f946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931010e33b4a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9d3df4e6af47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df5f3fb96ae4a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c2531c996034d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d23c7a0266e414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5" hidden="0" customWidth="1"/>
    <x:col min="5" max="5" width="16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PI GROUP EVENT READINESS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45" t="str">
        <x:f>Lists_Settings!B4</x:f>
        <x:v>Rangkaian Rakor Dirut, Raker RKAP 2027, Rapat Konsultasi, Olimpiade Badminton dan Plenary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A4" s="51" t="str">
        <x:f>"Periode: "&amp;TEXT(Lists_Settings!B5,"dd mmm yyyy")&amp;" – "&amp;TEXT(Lists_Settings!B6,"dd mmm yyyy")&amp;"  |  Working Scenario: "&amp;Lists_Settings!B8</x:f>
        <x:v>Periode: 10 Aug 2026 – 12 Aug 2026  |  Working Scenario: Rakor Hari Pertama; Olimpiade Setelah Raker (Working Alternative)</x:v>
      </x:c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</x:row>
    <x:row r="6">
      <x:c r="A6" s="57" t="str">
        <x:v>Overall Progress</x:v>
      </x:c>
      <x:c r="B6" s="57"/>
      <x:c r="C6" s="57"/>
      <x:c r="D6" s="57" t="str">
        <x:v>Overall Readiness</x:v>
      </x:c>
      <x:c r="E6" s="57"/>
      <x:c r="F6" s="57"/>
      <x:c r="G6" s="57" t="str">
        <x:v>Critical Pending</x:v>
      </x:c>
      <x:c r="H6" s="57"/>
      <x:c r="I6" s="57"/>
      <x:c r="J6" s="57" t="str">
        <x:v>Overdue Tasks</x:v>
      </x:c>
      <x:c r="K6" s="57"/>
      <x:c r="L6" s="57"/>
    </x:row>
    <x:row r="7">
      <x:c r="A7" s="70" t="n">
        <x:f>IFERROR(SUM(Checklist_Master!$AD$2:$AD$500)/SUM(Checklist_Master!$AC$2:$AC$500)/100,0)</x:f>
        <x:v>0.05321375186846039</x:v>
      </x:c>
      <x:c r="B7" s="70"/>
      <x:c r="C7" s="70"/>
      <x:c r="D7" s="72" t="str">
        <x:f>IF(COUNTIFS(Checklist_Master!$J$2:$J$500,"Critical",Checklist_Master!$AB$2:$AB$500,"OVERDUE")&gt;0,"NOT READY",IF(COUNTIFS(Checklist_Master!$J$2:$J$500,"Critical",Checklist_Master!$M$2:$M$500,"&lt;&gt;Selesai &amp; Terverifikasi",Checklist_Master!$M$2:$M$500,"&lt;&gt;Tidak Berlaku")&gt;0,"AT RISK","READY"))</x:f>
        <x:v>AT RISK</x:v>
      </x:c>
      <x:c r="E7" s="72"/>
      <x:c r="F7" s="72"/>
      <x:c r="G7" s="74" t="n">
        <x:f>COUNTIFS(Checklist_Master!$J$2:$J$500,"Critical",Checklist_Master!$M$2:$M$500,"&lt;&gt;Selesai &amp; Terverifikasi",Checklist_Master!$M$2:$M$500,"&lt;&gt;Tidak Berlaku")</x:f>
        <x:v>105</x:v>
      </x:c>
      <x:c r="H7" s="74"/>
      <x:c r="I7" s="74"/>
      <x:c r="J7" s="74" t="n">
        <x:f>COUNTIF(Checklist_Master!$AB$2:$AB$500,"OVERDUE")</x:f>
        <x:v>0</x:v>
      </x:c>
      <x:c r="K7" s="74"/>
      <x:c r="L7" s="74"/>
    </x:row>
    <x:row r="8">
      <x:c r="A8" s="70"/>
      <x:c r="B8" s="70"/>
      <x:c r="C8" s="70"/>
      <x:c r="D8" s="72"/>
      <x:c r="E8" s="72"/>
      <x:c r="F8" s="72"/>
      <x:c r="G8" s="74"/>
      <x:c r="H8" s="74"/>
      <x:c r="I8" s="74"/>
      <x:c r="J8" s="74"/>
      <x:c r="K8" s="74"/>
      <x:c r="L8" s="74"/>
    </x:row>
    <x:row r="9">
      <x:c r="A9" s="70"/>
      <x:c r="B9" s="70"/>
      <x:c r="C9" s="70"/>
      <x:c r="D9" s="72"/>
      <x:c r="E9" s="72"/>
      <x:c r="F9" s="72"/>
      <x:c r="G9" s="74"/>
      <x:c r="H9" s="74"/>
      <x:c r="I9" s="74"/>
      <x:c r="J9" s="74"/>
      <x:c r="K9" s="74"/>
      <x:c r="L9" s="74"/>
    </x:row>
    <x:row r="11">
      <x:c r="A11" s="57" t="str">
        <x:v>Blocked</x:v>
      </x:c>
      <x:c r="B11" s="57"/>
      <x:c r="C11" s="57"/>
      <x:c r="D11" s="57" t="str">
        <x:v>Awaiting Verification</x:v>
      </x:c>
      <x:c r="E11" s="57"/>
      <x:c r="F11" s="57"/>
      <x:c r="G11" s="57" t="str">
        <x:v>Tasks Without PIC</x:v>
      </x:c>
      <x:c r="H11" s="57"/>
      <x:c r="I11" s="57"/>
      <x:c r="J11" s="57" t="str">
        <x:v>Open Issues</x:v>
      </x:c>
      <x:c r="K11" s="57"/>
      <x:c r="L11" s="57"/>
    </x:row>
    <x:row r="12">
      <x:c r="A12" s="74" t="n">
        <x:f>COUNTIF(Checklist_Master!$M$2:$M$500,"Terkendala")</x:f>
        <x:v>0</x:v>
      </x:c>
      <x:c r="B12" s="74"/>
      <x:c r="C12" s="74"/>
      <x:c r="D12" s="74" t="n">
        <x:f>COUNTIF(Checklist_Master!$M$2:$M$500,"Siap Diverifikasi")</x:f>
        <x:v>0</x:v>
      </x:c>
      <x:c r="E12" s="74"/>
      <x:c r="F12" s="74"/>
      <x:c r="G12" s="74" t="n">
        <x:f>COUNTIFS(Checklist_Master!$B$2:$B$500,"&lt;&gt;",Checklist_Master!$I$2:$I$500,"")</x:f>
        <x:v>0</x:v>
      </x:c>
      <x:c r="H12" s="74"/>
      <x:c r="I12" s="74"/>
      <x:c r="J12" s="74" t="n">
        <x:f>COUNTIF(Issues_Decisions!$H$2:$H$200,"Open")</x:f>
        <x:v>8</x:v>
      </x:c>
      <x:c r="K12" s="74"/>
      <x:c r="L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</x:row>
    <x:row r="16">
      <x:c r="A16" s="78" t="str">
        <x:f>"Last update in sheet: "&amp;TEXT(MAX(Checklist_Master!$T$2:$T$500),"dd mmm yyyy hh:mm")&amp;" WIB"</x:f>
        <x:v>Last update in sheet: 26 Jul 2026 20:00 WIB</x:v>
      </x:c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</x:row>
    <x:row r="18" ht="30" customHeight="1">
      <x:c r="A18" s="14" t="str">
        <x:v>Event ID</x:v>
      </x:c>
      <x:c r="B18" s="14" t="str">
        <x:v>Event</x:v>
      </x:c>
      <x:c r="C18" s="14" t="str">
        <x:v>Venue</x:v>
      </x:c>
      <x:c r="D18" s="14" t="str">
        <x:v>Progress</x:v>
      </x:c>
      <x:c r="E18" s="14" t="str">
        <x:v>Critical Pending</x:v>
      </x:c>
      <x:c r="F18" s="14" t="str">
        <x:v>Overdue</x:v>
      </x:c>
      <x:c r="G18" s="14" t="str">
        <x:v>Readiness</x:v>
      </x:c>
      <x:c r="I18" s="90" t="str">
        <x:v>Dashboard Notes</x:v>
      </x:c>
      <x:c r="J18" s="90"/>
      <x:c r="K18" s="90"/>
      <x:c r="L18" s="90"/>
      <x:c r="M18" s="90"/>
      <x:c r="N18" s="90"/>
      <x:c r="O18" s="90"/>
      <x:c r="P18" s="90"/>
    </x:row>
    <x:row r="19">
      <x:c r="A19" s="20" t="str">
        <x:v>EVT-GEN</x:v>
      </x:c>
      <x:c r="B19" s="20" t="str">
        <x:v>Umum / Koordinasi</x:v>
      </x:c>
      <x:c r="C19" s="20" t="str"/>
      <x:c r="D19" s="84" t="n">
        <x:f>IFERROR(SUMIFS(Checklist_Master!$AD$2:$AD$500,Checklist_Master!$B$2:$B$500,A19)/SUMIFS(Checklist_Master!$AC$2:$AC$500,Checklist_Master!$B$2:$B$500,A19)/100,0)</x:f>
        <x:v>0.05233644859813084</x:v>
      </x:c>
      <x:c r="E19" s="20" t="n">
        <x:f>COUNTIFS(Checklist_Master!$B$2:$B$500,A19,Checklist_Master!$J$2:$J$500,"Critical",Checklist_Master!$M$2:$M$500,"&lt;&gt;Selesai &amp; Terverifikasi",Checklist_Master!$M$2:$M$500,"&lt;&gt;Tidak Berlaku")</x:f>
        <x:v>49</x:v>
      </x:c>
      <x:c r="F19" s="20" t="n">
        <x:f>COUNTIFS(Checklist_Master!$B$2:$B$500,A19,Checklist_Master!$AB$2:$AB$500,"OVERDUE")</x:f>
        <x:v>0</x:v>
      </x:c>
      <x:c r="G19" s="20" t="str">
        <x:f>IF(F19&gt;0,"Not Ready",IF(E19&gt;0,"At Risk","Ready"))</x:f>
        <x:v>At Risk</x:v>
      </x:c>
      <x:c r="I19" s="95" t="str">
        <x:v>• Update utama dilakukan pada Checklist_Master.</x:v>
      </x:c>
      <x:c r="J19" s="95"/>
      <x:c r="K19" s="95"/>
      <x:c r="L19" s="95"/>
      <x:c r="M19" s="95"/>
      <x:c r="N19" s="95"/>
      <x:c r="O19" s="95"/>
      <x:c r="P19" s="95"/>
    </x:row>
    <x:row r="20">
      <x:c r="A20" s="20" t="str">
        <x:v>EVT-RAKOR</x:v>
      </x:c>
      <x:c r="B20" s="20" t="str">
        <x:v>Rakor Direktur Utama PI Group</x:v>
      </x:c>
      <x:c r="C20" s="20" t="str">
        <x:v>Ruang Keupula</x:v>
      </x:c>
      <x:c r="D20" s="84" t="n">
        <x:f>IFERROR(SUMIFS(Checklist_Master!$AD$2:$AD$500,Checklist_Master!$B$2:$B$500,A20)/SUMIFS(Checklist_Master!$AC$2:$AC$500,Checklist_Master!$B$2:$B$500,A20)/100,0)</x:f>
        <x:v>0.03773584905660377</x:v>
      </x:c>
      <x:c r="E20" s="20" t="n">
        <x:f>COUNTIFS(Checklist_Master!$B$2:$B$500,A20,Checklist_Master!$J$2:$J$500,"Critical",Checklist_Master!$M$2:$M$500,"&lt;&gt;Selesai &amp; Terverifikasi",Checklist_Master!$M$2:$M$500,"&lt;&gt;Tidak Berlaku")</x:f>
        <x:v>8</x:v>
      </x:c>
      <x:c r="F20" s="20" t="n">
        <x:f>COUNTIFS(Checklist_Master!$B$2:$B$500,A20,Checklist_Master!$AB$2:$AB$500,"OVERDUE")</x:f>
        <x:v>0</x:v>
      </x:c>
      <x:c r="G20" s="20" t="str">
        <x:f>IF(F20&gt;0,"Not Ready",IF(E20&gt;0,"At Risk","Ready"))</x:f>
        <x:v>At Risk</x:v>
      </x:c>
      <x:c r="I20" s="95" t="str">
        <x:v>• PIC boleh mengedit langsung; admin dapat mengupdate saat rapat.</x:v>
      </x:c>
      <x:c r="J20" s="95"/>
      <x:c r="K20" s="95"/>
      <x:c r="L20" s="95"/>
      <x:c r="M20" s="95"/>
      <x:c r="N20" s="95"/>
      <x:c r="O20" s="95"/>
      <x:c r="P20" s="95"/>
    </x:row>
    <x:row r="21">
      <x:c r="A21" s="20" t="str">
        <x:v>EVT-PLENARY</x:v>
      </x:c>
      <x:c r="B21" s="20" t="str">
        <x:v>Plenary Session</x:v>
      </x:c>
      <x:c r="C21" s="20" t="str">
        <x:v>Gedung Pertemuan</x:v>
      </x:c>
      <x:c r="D21" s="84" t="n">
        <x:f>IFERROR(SUMIFS(Checklist_Master!$AD$2:$AD$500,Checklist_Master!$B$2:$B$500,A21)/SUMIFS(Checklist_Master!$AC$2:$AC$500,Checklist_Master!$B$2:$B$500,A21)/100,0)</x:f>
        <x:v>0.0392156862745098</x:v>
      </x:c>
      <x:c r="E21" s="20" t="n">
        <x:f>COUNTIFS(Checklist_Master!$B$2:$B$500,A21,Checklist_Master!$J$2:$J$500,"Critical",Checklist_Master!$M$2:$M$500,"&lt;&gt;Selesai &amp; Terverifikasi",Checklist_Master!$M$2:$M$500,"&lt;&gt;Tidak Berlaku")</x:f>
        <x:v>9</x:v>
      </x:c>
      <x:c r="F21" s="20" t="n">
        <x:f>COUNTIFS(Checklist_Master!$B$2:$B$500,A21,Checklist_Master!$AB$2:$AB$500,"OVERDUE")</x:f>
        <x:v>0</x:v>
      </x:c>
      <x:c r="G21" s="20" t="str">
        <x:f>IF(F21&gt;0,"Not Ready",IF(E21&gt;0,"At Risk","Ready"))</x:f>
        <x:v>At Risk</x:v>
      </x:c>
      <x:c r="I21" s="95" t="str">
        <x:v>• PWA hanya membaca baris dengan Publish to PWA = Ya.</x:v>
      </x:c>
      <x:c r="J21" s="95"/>
      <x:c r="K21" s="95"/>
      <x:c r="L21" s="95"/>
      <x:c r="M21" s="95"/>
      <x:c r="N21" s="95"/>
      <x:c r="O21" s="95"/>
      <x:c r="P21" s="95"/>
    </x:row>
    <x:row r="22">
      <x:c r="A22" s="20" t="str">
        <x:v>EVT-RAKER</x:v>
      </x:c>
      <x:c r="B22" s="20" t="str">
        <x:v>Raker RKAP 2027 PI Group</x:v>
      </x:c>
      <x:c r="C22" s="20" t="str">
        <x:v>Tenda di sebelah Gedung Pertemuan</x:v>
      </x:c>
      <x:c r="D22" s="84" t="n">
        <x:f>IFERROR(SUMIFS(Checklist_Master!$AD$2:$AD$500,Checklist_Master!$B$2:$B$500,A22)/SUMIFS(Checklist_Master!$AC$2:$AC$500,Checklist_Master!$B$2:$B$500,A22)/100,0)</x:f>
        <x:v>0.0058823529411764705</x:v>
      </x:c>
      <x:c r="E22" s="20" t="n">
        <x:f>COUNTIFS(Checklist_Master!$B$2:$B$500,A22,Checklist_Master!$J$2:$J$500,"Critical",Checklist_Master!$M$2:$M$500,"&lt;&gt;Selesai &amp; Terverifikasi",Checklist_Master!$M$2:$M$500,"&lt;&gt;Tidak Berlaku")</x:f>
        <x:v>11</x:v>
      </x:c>
      <x:c r="F22" s="20" t="n">
        <x:f>COUNTIFS(Checklist_Master!$B$2:$B$500,A22,Checklist_Master!$AB$2:$AB$500,"OVERDUE")</x:f>
        <x:v>0</x:v>
      </x:c>
      <x:c r="G22" s="20" t="str">
        <x:f>IF(F22&gt;0,"Not Ready",IF(E22&gt;0,"At Risk","Ready"))</x:f>
        <x:v>At Risk</x:v>
      </x:c>
      <x:c r="I22" s="95" t="str">
        <x:v>• Nomor kamar, badge dan kontak tidak diekspos oleh endpoint publik.</x:v>
      </x:c>
      <x:c r="J22" s="95"/>
      <x:c r="K22" s="95"/>
      <x:c r="L22" s="95"/>
      <x:c r="M22" s="95"/>
      <x:c r="N22" s="95"/>
      <x:c r="O22" s="95"/>
      <x:c r="P22" s="95"/>
    </x:row>
    <x:row r="23">
      <x:c r="A23" s="20" t="str">
        <x:v>EVT-KONS</x:v>
      </x:c>
      <x:c r="B23" s="20" t="str">
        <x:v>Rapat Konsultasi &amp; Pengawasan</x:v>
      </x:c>
      <x:c r="C23" s="20" t="str">
        <x:v>Ruang Teuku Umar</x:v>
      </x:c>
      <x:c r="D23" s="84" t="n">
        <x:f>IFERROR(SUMIFS(Checklist_Master!$AD$2:$AD$500,Checklist_Master!$B$2:$B$500,A23)/SUMIFS(Checklist_Master!$AC$2:$AC$500,Checklist_Master!$B$2:$B$500,A23)/100,0)</x:f>
        <x:v>0</x:v>
      </x:c>
      <x:c r="E23" s="20" t="n">
        <x:f>COUNTIFS(Checklist_Master!$B$2:$B$500,A23,Checklist_Master!$J$2:$J$500,"Critical",Checklist_Master!$M$2:$M$500,"&lt;&gt;Selesai &amp; Terverifikasi",Checklist_Master!$M$2:$M$500,"&lt;&gt;Tidak Berlaku")</x:f>
        <x:v>4</x:v>
      </x:c>
      <x:c r="F23" s="20" t="n">
        <x:f>COUNTIFS(Checklist_Master!$B$2:$B$500,A23,Checklist_Master!$AB$2:$AB$500,"OVERDUE")</x:f>
        <x:v>0</x:v>
      </x:c>
      <x:c r="G23" s="20" t="str">
        <x:f>IF(F23&gt;0,"Not Ready",IF(E23&gt;0,"At Risk","Ready"))</x:f>
        <x:v>At Risk</x:v>
      </x:c>
      <x:c r="I23" s="95" t="str">
        <x:v>• Skenario B adalah working alternative, bukan keputusan final.</x:v>
      </x:c>
      <x:c r="J23" s="95"/>
      <x:c r="K23" s="95"/>
      <x:c r="L23" s="95"/>
      <x:c r="M23" s="95"/>
      <x:c r="N23" s="95"/>
      <x:c r="O23" s="95"/>
      <x:c r="P23" s="95"/>
    </x:row>
    <x:row r="24">
      <x:c r="A24" s="20" t="str">
        <x:v>EVT-OLIM</x:v>
      </x:c>
      <x:c r="B24" s="20" t="str">
        <x:v>Olimpiade Badminton PI Group</x:v>
      </x:c>
      <x:c r="C24" s="20" t="str">
        <x:v>Gedung Pertemuan</x:v>
      </x:c>
      <x:c r="D24" s="84" t="n">
        <x:f>IFERROR(SUMIFS(Checklist_Master!$AD$2:$AD$500,Checklist_Master!$B$2:$B$500,A24)/SUMIFS(Checklist_Master!$AC$2:$AC$500,Checklist_Master!$B$2:$B$500,A24)/100,0)</x:f>
        <x:v>0</x:v>
      </x:c>
      <x:c r="E24" s="20" t="n">
        <x:f>COUNTIFS(Checklist_Master!$B$2:$B$500,A24,Checklist_Master!$J$2:$J$500,"Critical",Checklist_Master!$M$2:$M$500,"&lt;&gt;Selesai &amp; Terverifikasi",Checklist_Master!$M$2:$M$500,"&lt;&gt;Tidak Berlaku")</x:f>
        <x:v>8</x:v>
      </x:c>
      <x:c r="F24" s="20" t="n">
        <x:f>COUNTIFS(Checklist_Master!$B$2:$B$500,A24,Checklist_Master!$AB$2:$AB$500,"OVERDUE")</x:f>
        <x:v>0</x:v>
      </x:c>
      <x:c r="G24" s="20" t="str">
        <x:f>IF(F24&gt;0,"Not Ready",IF(E24&gt;0,"At Risk","Ready"))</x:f>
        <x:v>At Risk</x:v>
      </x:c>
    </x:row>
    <x:row r="25">
      <x:c r="A25" s="20" t="str">
        <x:v>EVT-DINNER</x:v>
      </x:c>
      <x:c r="B25" s="20" t="str">
        <x:v>Welcoming Dinner</x:v>
      </x:c>
      <x:c r="C25" s="20" t="str">
        <x:v>Tenda Raja Lanang</x:v>
      </x:c>
      <x:c r="D25" s="84" t="n">
        <x:f>IFERROR(SUMIFS(Checklist_Master!$AD$2:$AD$500,Checklist_Master!$B$2:$B$500,A25)/SUMIFS(Checklist_Master!$AC$2:$AC$500,Checklist_Master!$B$2:$B$500,A25)/100,0)</x:f>
        <x:v>0</x:v>
      </x:c>
      <x:c r="E25" s="20" t="n">
        <x:f>COUNTIFS(Checklist_Master!$B$2:$B$500,A25,Checklist_Master!$J$2:$J$500,"Critical",Checklist_Master!$M$2:$M$500,"&lt;&gt;Selesai &amp; Terverifikasi",Checklist_Master!$M$2:$M$500,"&lt;&gt;Tidak Berlaku")</x:f>
        <x:v>0</x:v>
      </x:c>
      <x:c r="F25" s="20" t="n">
        <x:f>COUNTIFS(Checklist_Master!$B$2:$B$500,A25,Checklist_Master!$AB$2:$AB$500,"OVERDUE")</x:f>
        <x:v>0</x:v>
      </x:c>
      <x:c r="G25" s="20" t="str">
        <x:f>IF(F25&gt;0,"Not Ready",IF(E25&gt;0,"At Risk","Ready"))</x:f>
        <x:v>Ready</x:v>
      </x:c>
    </x:row>
    <x:row r="26">
      <x:c r="A26" s="20" t="str">
        <x:v>EVT-ISHOMA</x:v>
      </x:c>
      <x:c r="B26" s="20" t="str">
        <x:v>Ishoma &amp; Dinner</x:v>
      </x:c>
      <x:c r="C26" s="20" t="str">
        <x:v>Tenda Makan di Gedung Pertemuan</x:v>
      </x:c>
      <x:c r="D26" s="84" t="n">
        <x:f>IFERROR(SUMIFS(Checklist_Master!$AD$2:$AD$500,Checklist_Master!$B$2:$B$500,A26)/SUMIFS(Checklist_Master!$AC$2:$AC$500,Checklist_Master!$B$2:$B$500,A26)/100,0)</x:f>
        <x:v>0</x:v>
      </x:c>
      <x:c r="E26" s="20" t="n">
        <x:f>COUNTIFS(Checklist_Master!$B$2:$B$500,A26,Checklist_Master!$J$2:$J$500,"Critical",Checklist_Master!$M$2:$M$500,"&lt;&gt;Selesai &amp; Terverifikasi",Checklist_Master!$M$2:$M$500,"&lt;&gt;Tidak Berlaku")</x:f>
        <x:v>0</x:v>
      </x:c>
      <x:c r="F26" s="20" t="n">
        <x:f>COUNTIFS(Checklist_Master!$B$2:$B$500,A26,Checklist_Master!$AB$2:$AB$500,"OVERDUE")</x:f>
        <x:v>0</x:v>
      </x:c>
      <x:c r="G26" s="20" t="str">
        <x:f>IF(F26&gt;0,"Not Ready",IF(E26&gt;0,"At Risk","Ready"))</x:f>
        <x:v>Ready</x:v>
      </x:c>
    </x:row>
    <x:row r="27">
      <x:c r="A27" s="20" t="str">
        <x:v>EVT-TRANS</x:v>
      </x:c>
      <x:c r="B27" s="20" t="str">
        <x:v>Transportasi &amp; Flight</x:v>
      </x:c>
      <x:c r="C27" s="20" t="str">
        <x:v>Bandara / Rute Lokal</x:v>
      </x:c>
      <x:c r="D27" s="84" t="n">
        <x:f>IFERROR(SUMIFS(Checklist_Master!$AD$2:$AD$500,Checklist_Master!$B$2:$B$500,A27)/SUMIFS(Checklist_Master!$AC$2:$AC$500,Checklist_Master!$B$2:$B$500,A27)/100,0)</x:f>
        <x:v>0.07272727272727272</x:v>
      </x:c>
      <x:c r="E27" s="20" t="n">
        <x:f>COUNTIFS(Checklist_Master!$B$2:$B$500,A27,Checklist_Master!$J$2:$J$500,"Critical",Checklist_Master!$M$2:$M$500,"&lt;&gt;Selesai &amp; Terverifikasi",Checklist_Master!$M$2:$M$500,"&lt;&gt;Tidak Berlaku")</x:f>
        <x:v>8</x:v>
      </x:c>
      <x:c r="F27" s="20" t="n">
        <x:f>COUNTIFS(Checklist_Master!$B$2:$B$500,A27,Checklist_Master!$AB$2:$AB$500,"OVERDUE")</x:f>
        <x:v>0</x:v>
      </x:c>
      <x:c r="G27" s="20" t="str">
        <x:f>IF(F27&gt;0,"Not Ready",IF(E27&gt;0,"At Risk","Ready"))</x:f>
        <x:v>At Risk</x:v>
      </x:c>
    </x:row>
    <x:row r="28">
      <x:c r="A28" s="20" t="str">
        <x:v>EVT-ACCOM</x:v>
      </x:c>
      <x:c r="B28" s="20" t="str">
        <x:v>Akomodasi</x:v>
      </x:c>
      <x:c r="C28" s="20" t="str">
        <x:v>Rumah Komplek PIM &amp; Hotel</x:v>
      </x:c>
      <x:c r="D28" s="84" t="n">
        <x:f>IFERROR(SUMIFS(Checklist_Master!$AD$2:$AD$500,Checklist_Master!$B$2:$B$500,A28)/SUMIFS(Checklist_Master!$AC$2:$AC$500,Checklist_Master!$B$2:$B$500,A28)/100,0)</x:f>
        <x:v>0.23829787234042552</x:v>
      </x:c>
      <x:c r="E28" s="20" t="n">
        <x:f>COUNTIFS(Checklist_Master!$B$2:$B$500,A28,Checklist_Master!$J$2:$J$500,"Critical",Checklist_Master!$M$2:$M$500,"&lt;&gt;Selesai &amp; Terverifikasi",Checklist_Master!$M$2:$M$500,"&lt;&gt;Tidak Berlaku")</x:f>
        <x:v>8</x:v>
      </x:c>
      <x:c r="F28" s="20" t="n">
        <x:f>COUNTIFS(Checklist_Master!$B$2:$B$500,A28,Checklist_Master!$AB$2:$AB$500,"OVERDUE")</x:f>
        <x:v>0</x:v>
      </x:c>
      <x:c r="G28" s="20" t="str">
        <x:f>IF(F28&gt;0,"Not Ready",IF(E28&gt;0,"At Risk","Ready"))</x:f>
        <x:v>At Risk</x:v>
      </x:c>
    </x:row>
    <x:row r="31" ht="30" customHeight="1">
      <x:c r="A31" s="14" t="str">
        <x:v>Accommodation KPI</x:v>
      </x:c>
      <x:c r="B31" s="14" t="str">
        <x:v>Value</x:v>
      </x:c>
      <x:c r="C31" s="14" t="str"/>
      <x:c r="D31" s="14" t="str">
        <x:v>LO KPI</x:v>
      </x:c>
      <x:c r="E31" s="14" t="str">
        <x:v>Value</x:v>
      </x:c>
      <x:c r="F31" s="14" t="str"/>
    </x:row>
    <x:row r="32">
      <x:c r="A32" s="88" t="str">
        <x:v>Total Inventory</x:v>
      </x:c>
      <x:c r="B32" s="86" t="n">
        <x:f>COUNTA(Accommodation!$A$2:$A$500)</x:f>
        <x:v>204</x:v>
      </x:c>
      <x:c r="C32" s="86"/>
      <x:c r="D32" s="88" t="str">
        <x:v>LO Records</x:v>
      </x:c>
      <x:c r="E32" s="86" t="n">
        <x:f>COUNTA(LO_Assignment!$A$2:$A$300)</x:f>
        <x:v>54</x:v>
      </x:c>
    </x:row>
    <x:row r="33">
      <x:c r="A33" s="88" t="str">
        <x:v>Occupied / Reserved</x:v>
      </x:c>
      <x:c r="B33" s="86" t="n">
        <x:f>COUNTIF(Accommodation!$O$2:$O$500,"Occupied")+COUNTIF(Accommodation!$O$2:$O$500,"Reserved")</x:f>
        <x:v>107</x:v>
      </x:c>
      <x:c r="C33" s="86"/>
      <x:c r="D33" s="88" t="str">
        <x:v>Confirmed</x:v>
      </x:c>
      <x:c r="E33" s="86" t="n">
        <x:f>COUNTIF(LO_Assignment!$K$2:$K$300,"Confirmed")</x:f>
        <x:v>0</x:v>
      </x:c>
    </x:row>
    <x:row r="34">
      <x:c r="A34" s="88" t="str">
        <x:v>Available</x:v>
      </x:c>
      <x:c r="B34" s="86" t="n">
        <x:f>COUNTIF(Accommodation!$O$2:$O$500,"Available")</x:f>
        <x:v>97</x:v>
      </x:c>
      <x:c r="C34" s="86"/>
      <x:c r="D34" s="88" t="str">
        <x:v>Need Confirmation</x:v>
      </x:c>
      <x:c r="E34" s="86" t="n">
        <x:f>COUNTIF(LO_Assignment!$K$2:$K$300,"Perlu Konfirmasi")</x:f>
        <x:v>50</x:v>
      </x:c>
    </x:row>
    <x:row r="35">
      <x:c r="A35" s="88" t="str">
        <x:v>Rooms Ready</x:v>
      </x:c>
      <x:c r="B35" s="86" t="n">
        <x:f>COUNTIF(Accommodation!$L$2:$L$500,"Ready")</x:f>
        <x:v>91</x:v>
      </x:c>
      <x:c r="C35" s="86"/>
      <x:c r="D35" s="88" t="str">
        <x:v>Missing LO</x:v>
      </x:c>
      <x:c r="E35" s="86" t="n">
        <x:f>COUNTIFS(LO_Assignment!$B$2:$B$300,"&lt;&gt;",LO_Assignment!$D$2:$D$300,"")</x:f>
        <x:v>0</x:v>
      </x:c>
    </x:row>
    <x:row r="36">
      <x:c r="A36" s="88" t="str">
        <x:v>Rooms Need Action</x:v>
      </x:c>
      <x:c r="B36" s="86" t="n">
        <x:f>COUNTIF(Accommodation!$L$2:$L$500,"Needs Action")</x:f>
        <x:v>18</x:v>
      </x:c>
      <x:c r="C36" s="86"/>
      <x:c r="D36" s="88" t="str">
        <x:v>Backup Assigned</x:v>
      </x:c>
      <x:c r="E36" s="86" t="n">
        <x:f>COUNTIF(LO_Assignment!$K$2:$K$300,"Backup Assigned")</x:f>
        <x:v>0</x:v>
      </x:c>
    </x:row>
    <x:row r="40">
      <x:c r="N40" t="str">
        <x:v>Event</x:v>
      </x:c>
      <x:c r="O40" t="str">
        <x:v>Progress</x:v>
      </x:c>
    </x:row>
    <x:row r="41">
      <x:c r="N41" t="str">
        <x:v>Umum / Koordinasi</x:v>
      </x:c>
      <x:c r="O41" s="82" t="n">
        <x:f>D19</x:f>
        <x:v>0.05233644859813084</x:v>
      </x:c>
    </x:row>
    <x:row r="42">
      <x:c r="N42" t="str">
        <x:v>Rakor Direktur Utama PI Group</x:v>
      </x:c>
      <x:c r="O42" s="82" t="n">
        <x:f>D20</x:f>
        <x:v>0.03773584905660377</x:v>
      </x:c>
    </x:row>
    <x:row r="43">
      <x:c r="N43" t="str">
        <x:v>Plenary Session</x:v>
      </x:c>
      <x:c r="O43" s="82" t="n">
        <x:f>D21</x:f>
        <x:v>0.0392156862745098</x:v>
      </x:c>
    </x:row>
    <x:row r="44">
      <x:c r="N44" t="str">
        <x:v>Raker RKAP 2027 PI Group</x:v>
      </x:c>
      <x:c r="O44" s="82" t="n">
        <x:f>D22</x:f>
        <x:v>0.0058823529411764705</x:v>
      </x:c>
    </x:row>
    <x:row r="45">
      <x:c r="N45" t="str">
        <x:v>Rapat Konsultasi &amp; Pengawasan</x:v>
      </x:c>
      <x:c r="O45" s="82" t="n">
        <x:f>D23</x:f>
        <x:v>0</x:v>
      </x:c>
    </x:row>
    <x:row r="46">
      <x:c r="N46" t="str">
        <x:v>Olimpiade Badminton PI Group</x:v>
      </x:c>
      <x:c r="O46" s="82" t="n">
        <x:f>D24</x:f>
        <x:v>0</x:v>
      </x:c>
    </x:row>
    <x:row r="47">
      <x:c r="N47" t="str">
        <x:v>Welcoming Dinner</x:v>
      </x:c>
      <x:c r="O47" s="82" t="n">
        <x:f>D25</x:f>
        <x:v>0</x:v>
      </x:c>
    </x:row>
    <x:row r="48">
      <x:c r="N48" t="str">
        <x:v>Ishoma &amp; Dinner</x:v>
      </x:c>
      <x:c r="O48" s="82" t="n">
        <x:f>D26</x:f>
        <x:v>0</x:v>
      </x:c>
    </x:row>
    <x:row r="49">
      <x:c r="N49" t="str">
        <x:v>Transportasi &amp; Flight</x:v>
      </x:c>
      <x:c r="O49" s="82" t="n">
        <x:f>D27</x:f>
        <x:v>0.07272727272727272</x:v>
      </x:c>
    </x:row>
    <x:row r="50">
      <x:c r="N50" t="str">
        <x:v>Akomodasi</x:v>
      </x:c>
      <x:c r="O50" s="82" t="n">
        <x:f>D28</x:f>
        <x:v>0.23829787234042552</x:v>
      </x:c>
    </x:row>
  </x:sheetData>
  <x:mergeCells>
    <x:mergeCell ref="A1:L2"/>
    <x:mergeCell ref="A3:L3"/>
    <x:mergeCell ref="A4:L4"/>
    <x:mergeCell ref="A6:C6"/>
    <x:mergeCell ref="A7:C9"/>
    <x:mergeCell ref="D6:F6"/>
    <x:mergeCell ref="D7:F9"/>
    <x:mergeCell ref="G6:I6"/>
    <x:mergeCell ref="G7:I9"/>
    <x:mergeCell ref="J6:L6"/>
    <x:mergeCell ref="J7:L9"/>
    <x:mergeCell ref="A11:C11"/>
    <x:mergeCell ref="A12:C14"/>
    <x:mergeCell ref="D11:F11"/>
    <x:mergeCell ref="D12:F14"/>
    <x:mergeCell ref="G11:I11"/>
    <x:mergeCell ref="G12:I14"/>
    <x:mergeCell ref="J11:L11"/>
    <x:mergeCell ref="J12:L14"/>
    <x:mergeCell ref="A16:L16"/>
    <x:mergeCell ref="I18:P18"/>
    <x:mergeCell ref="I19:P19"/>
    <x:mergeCell ref="I20:P20"/>
    <x:mergeCell ref="I21:P21"/>
    <x:mergeCell ref="I22:P22"/>
    <x:mergeCell ref="I23:P23"/>
  </x:mergeCells>
  <x:conditionalFormatting sqref="D19:D28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G19:G28">
    <x:cfRule type="expression" dxfId="11" priority="2">
      <x:formula>G19="Ready"</x:formula>
    </x:cfRule>
    <x:cfRule type="expression" dxfId="12" priority="3">
      <x:formula>G19="At Risk"</x:formula>
    </x:cfRule>
    <x:cfRule type="expression" dxfId="13" priority="4">
      <x:formula>G19="Not Ready"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3B82F6"/>
            </x14:dataBar>
          </x14:cfRule>
          <xm:sqref>D19:D28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20" hidden="0" customWidth="1"/>
    <x:col min="5" max="5" width="34" hidden="0" customWidth="1"/>
    <x:col min="6" max="6" width="40" hidden="0" customWidth="1"/>
    <x:col min="7" max="7" width="13" hidden="0" customWidth="1"/>
    <x:col min="8" max="8" width="23" hidden="0" customWidth="1"/>
    <x:col min="9" max="9" width="22" hidden="0" customWidth="1"/>
    <x:col min="10" max="10" width="10" hidden="0" customWidth="1"/>
    <x:col min="11" max="11" width="13" hidden="0" customWidth="1"/>
    <x:col min="12" max="12" width="13" hidden="0" customWidth="1"/>
    <x:col min="13" max="13" width="22" hidden="0" customWidth="1"/>
    <x:col min="14" max="14" width="11" hidden="0" customWidth="1"/>
    <x:col min="15" max="15" width="12" hidden="0" customWidth="1"/>
    <x:col min="16" max="16" width="32" hidden="0" customWidth="1"/>
    <x:col min="17" max="17" width="32" hidden="0" customWidth="1"/>
    <x:col min="18" max="18" width="20" hidden="0" customWidth="1"/>
    <x:col min="19" max="19" width="20" hidden="0" customWidth="1"/>
    <x:col min="20" max="20" width="19" hidden="0" customWidth="1"/>
    <x:col min="21" max="21" width="30" hidden="0" customWidth="1"/>
    <x:col min="22" max="22" width="20" hidden="0" customWidth="1"/>
    <x:col min="23" max="23" width="20" hidden="0" customWidth="1"/>
    <x:col min="24" max="24" width="35" hidden="0" customWidth="1"/>
    <x:col min="25" max="25" width="13" hidden="0" customWidth="1"/>
    <x:col min="26" max="26" width="10" hidden="0" customWidth="1"/>
    <x:col min="27" max="27" width="12" hidden="0" customWidth="1"/>
    <x:col min="28" max="28" width="13" hidden="0" customWidth="1"/>
    <x:col min="29" max="29" width="8" hidden="0" customWidth="1"/>
    <x:col min="30" max="30" width="14" hidden="0" customWidth="1"/>
  </x:cols>
  <x:sheetData>
    <x:row r="1" ht="30" customHeight="1">
      <x:c r="A1" s="14" t="str">
        <x:v>Task ID</x:v>
      </x:c>
      <x:c r="B1" s="14" t="str">
        <x:v>Event ID</x:v>
      </x:c>
      <x:c r="C1" s="14" t="str">
        <x:v>Venue</x:v>
      </x:c>
      <x:c r="D1" s="14" t="str">
        <x:v>Workstream</x:v>
      </x:c>
      <x:c r="E1" s="14" t="str">
        <x:v>Checklist Item</x:v>
      </x:c>
      <x:c r="F1" s="14" t="str">
        <x:v>Acceptance Criteria</x:v>
      </x:c>
      <x:c r="G1" s="14" t="str">
        <x:v>Scope Owner</x:v>
      </x:c>
      <x:c r="H1" s="14" t="str">
        <x:v>Bidang</x:v>
      </x:c>
      <x:c r="I1" s="14" t="str">
        <x:v>PIC</x:v>
      </x:c>
      <x:c r="J1" s="14" t="str">
        <x:v>Priority</x:v>
      </x:c>
      <x:c r="K1" s="14" t="str">
        <x:v>Planned Start</x:v>
      </x:c>
      <x:c r="L1" s="14" t="str">
        <x:v>Deadline</x:v>
      </x:c>
      <x:c r="M1" s="14" t="str">
        <x:v>Status</x:v>
      </x:c>
      <x:c r="N1" s="14" t="str">
        <x:v>Progress %</x:v>
      </x:c>
      <x:c r="O1" s="14" t="str">
        <x:v>Readiness</x:v>
      </x:c>
      <x:c r="P1" s="14" t="str">
        <x:v>Blocker</x:v>
      </x:c>
      <x:c r="Q1" s="14" t="str">
        <x:v>Next Action</x:v>
      </x:c>
      <x:c r="R1" s="14" t="str">
        <x:v>Updated By</x:v>
      </x:c>
      <x:c r="S1" s="14" t="str">
        <x:v>Update Source</x:v>
      </x:c>
      <x:c r="T1" s="14" t="str">
        <x:v>Last Updated</x:v>
      </x:c>
      <x:c r="U1" s="14" t="str">
        <x:v>Evidence Link</x:v>
      </x:c>
      <x:c r="V1" s="14" t="str">
        <x:v>Verification</x:v>
      </x:c>
      <x:c r="W1" s="14" t="str">
        <x:v>Verified By</x:v>
      </x:c>
      <x:c r="X1" s="14" t="str">
        <x:v>Notes</x:v>
      </x:c>
      <x:c r="Y1" s="14" t="str">
        <x:v>Publish to PWA</x:v>
      </x:c>
      <x:c r="Z1" s="14" t="str">
        <x:v>Scenario</x:v>
      </x:c>
      <x:c r="AA1" s="14" t="str">
        <x:v>Days to Deadline</x:v>
      </x:c>
      <x:c r="AB1" s="14" t="str">
        <x:v>Overdue Flag</x:v>
      </x:c>
      <x:c r="AC1" s="14" t="str">
        <x:v>Weight</x:v>
      </x:c>
      <x:c r="AD1" s="14" t="str">
        <x:v>Weighted Progress</x:v>
      </x:c>
    </x:row>
    <x:row r="2">
      <x:c r="A2" s="20" t="str">
        <x:v>TSK-001</x:v>
      </x:c>
      <x:c r="B2" s="20" t="str">
        <x:v>EVT-GEN</x:v>
      </x:c>
      <x:c r="C2" s="20" t="str"/>
      <x:c r="D2" s="20" t="str">
        <x:v>Governance</x:v>
      </x:c>
      <x:c r="E2" s="20" t="str">
        <x:v>Konfirmasi tanggal pelaksanaan 10–12 Agustus 2026</x:v>
      </x:c>
      <x:c r="F2" s="20" t="str">
        <x:v>Semua dokumen aktif menggunakan 10–12 Agustus 2026 dan versi 12–14 Agustus diarsipkan.</x:v>
      </x:c>
      <x:c r="G2" s="20" t="str">
        <x:v>PIM</x:v>
      </x:c>
      <x:c r="H2" s="20" t="str">
        <x:v>Sekretariat &amp; Koordinasi</x:v>
      </x:c>
      <x:c r="I2" s="20" t="str">
        <x:v>Osman M Saftari</x:v>
      </x:c>
      <x:c r="J2" s="20" t="str">
        <x:v>Critical</x:v>
      </x:c>
      <x:c r="K2" s="30" t="n">
        <x:v>46223</x:v>
      </x:c>
      <x:c r="L2" s="30" t="n">
        <x:v>46229</x:v>
      </x:c>
      <x:c r="M2" s="20" t="str">
        <x:v>Selesai &amp; Terverifikasi</x:v>
      </x:c>
      <x:c r="N2" s="31" t="n">
        <x:v>100</x:v>
      </x:c>
      <x:c r="O2" s="20" t="str">
        <x:f>IF(M2="Selesai &amp; Terverifikasi","Ready",IF(M2="Terkendala","Not Ready",IF(AND(J2="Critical",L2&lt;=TODAY()+3,N2&lt;100),"At Risk","In Progress")))</x:f>
        <x:v>Ready</x:v>
      </x:c>
      <x:c r="P2" s="20" t="str"/>
      <x:c r="Q2" s="20" t="str">
        <x:v>Arsipkan dokumen 12–14 Agustus sebagai obsolete.</x:v>
      </x:c>
      <x:c r="R2" s="20" t="str">
        <x:v>Osman M Saftari</x:v>
      </x:c>
      <x:c r="S2" s="20" t="str">
        <x:v>Initial Setup</x:v>
      </x:c>
      <x:c r="T2" s="32" t="n">
        <x:v>46229.833333333336</x:v>
      </x:c>
      <x:c r="U2" s="20" t="str"/>
      <x:c r="V2" s="20" t="str">
        <x:v>Terverifikasi</x:v>
      </x:c>
      <x:c r="W2" s="20" t="str">
        <x:v>Osman M Saftari</x:v>
      </x:c>
      <x:c r="X2" s="20" t="str">
        <x:v>Tanggal 12–14 Agustus dinyatakan obsolete.</x:v>
      </x:c>
      <x:c r="Y2" s="20" t="str">
        <x:v>Ya</x:v>
      </x:c>
      <x:c r="Z2" s="20" t="str">
        <x:v>Semua</x:v>
      </x:c>
      <x:c r="AA2" s="33" t="n">
        <x:f>IF(L2="","",L2-TODAY())</x:f>
        <x:v>0</x:v>
      </x:c>
      <x:c r="AB2" s="20" t="str">
        <x:f>IF(AND(L2&lt;&gt;"",L2&lt;TODAY(),M2&lt;&gt;"Selesai &amp; Terverifikasi",M2&lt;&gt;"Tidak Berlaku"),"OVERDUE","")</x:f>
      </x:c>
      <x:c r="AC2" s="20" t="n">
        <x:f>IF(J2="Critical",4,IF(J2="High",3,IF(J2="Medium",2,1)))</x:f>
        <x:v>4</x:v>
      </x:c>
      <x:c r="AD2" s="20" t="n">
        <x:f>N2*AC2</x:f>
        <x:v>400</x:v>
      </x:c>
    </x:row>
    <x:row r="3">
      <x:c r="A3" s="20" t="str">
        <x:v>TSK-002</x:v>
      </x:c>
      <x:c r="B3" s="20" t="str">
        <x:v>EVT-GEN</x:v>
      </x:c>
      <x:c r="C3" s="20" t="str"/>
      <x:c r="D3" s="20" t="str">
        <x:v>Governance</x:v>
      </x:c>
      <x:c r="E3" s="20" t="str">
        <x:v>Tetapkan skenario rundown aktif</x:v>
      </x:c>
      <x:c r="F3" s="20" t="str">
        <x:v>Satu skenario ditandai sebagai Working Alternative tanpa menghapus alternatif lain.</x:v>
      </x:c>
      <x:c r="G3" s="20" t="str">
        <x:v>Shared</x:v>
      </x:c>
      <x:c r="H3" s="20" t="str">
        <x:v>Sekretariat &amp; Koordinasi</x:v>
      </x:c>
      <x:c r="I3" s="20" t="str">
        <x:v>Osman M Saftari</x:v>
      </x:c>
      <x:c r="J3" s="20" t="str">
        <x:v>Critical</x:v>
      </x:c>
      <x:c r="K3" s="30" t="n">
        <x:v>46230</x:v>
      </x:c>
      <x:c r="L3" s="30" t="n">
        <x:v>46232</x:v>
      </x:c>
      <x:c r="M3" s="20" t="str">
        <x:v>Sedang Berjalan</x:v>
      </x:c>
      <x:c r="N3" s="31" t="n">
        <x:v>70</x:v>
      </x:c>
      <x:c r="O3" s="20" t="str">
        <x:f>IF(M3="Selesai &amp; Terverifikasi","Ready",IF(M3="Terkendala","Not Ready",IF(AND(J3="Critical",L3&lt;=TODAY()+3,N3&lt;100),"At Risk","In Progress")))</x:f>
        <x:v>At Risk</x:v>
      </x:c>
      <x:c r="P3" s="20" t="str">
        <x:v>Menunggu keputusan urutan Raker dan Plenary.</x:v>
      </x:c>
      <x:c r="Q3" s="20" t="str">
        <x:v>Bahas skenario B dan alternatif Raker sebelum Plenary.</x:v>
      </x:c>
      <x:c r="R3" s="20" t="str">
        <x:v>Osman M Saftari</x:v>
      </x:c>
      <x:c r="S3" s="20" t="str">
        <x:v>Initial Setup</x:v>
      </x:c>
      <x:c r="T3" s="32" t="n">
        <x:v>46229.833333333336</x:v>
      </x:c>
      <x:c r="U3" s="20" t="str"/>
      <x:c r="V3" s="20" t="str">
        <x:v>Belum Diverifikasi</x:v>
      </x:c>
      <x:c r="W3" s="20" t="str"/>
      <x:c r="X3" s="20" t="str">
        <x:v>Skenario B dimuat sebagai working alternative.</x:v>
      </x:c>
      <x:c r="Y3" s="20" t="str">
        <x:v>Ya</x:v>
      </x:c>
      <x:c r="Z3" s="20" t="str">
        <x:v>Semua</x:v>
      </x:c>
      <x:c r="AA3" s="33" t="n">
        <x:f>IF(L3="","",L3-TODAY())</x:f>
        <x:v>3</x:v>
      </x:c>
      <x:c r="AB3" s="20" t="str">
        <x:f>IF(AND(L3&lt;&gt;"",L3&lt;TODAY(),M3&lt;&gt;"Selesai &amp; Terverifikasi",M3&lt;&gt;"Tidak Berlaku"),"OVERDUE","")</x:f>
      </x:c>
      <x:c r="AC3" s="20" t="n">
        <x:f>IF(J3="Critical",4,IF(J3="High",3,IF(J3="Medium",2,1)))</x:f>
        <x:v>4</x:v>
      </x:c>
      <x:c r="AD3" s="20" t="n">
        <x:f>N3*AC3</x:f>
        <x:v>280</x:v>
      </x:c>
    </x:row>
    <x:row r="4">
      <x:c r="A4" s="20" t="str">
        <x:v>TSK-003</x:v>
      </x:c>
      <x:c r="B4" s="20" t="str">
        <x:v>EVT-GEN</x:v>
      </x:c>
      <x:c r="C4" s="20" t="str"/>
      <x:c r="D4" s="20" t="str">
        <x:v>Governance</x:v>
      </x:c>
      <x:c r="E4" s="20" t="str">
        <x:v>Keputusan urutan Raker RKAP dan Plenary</x:v>
      </x:c>
      <x:c r="F4" s="20" t="str">
        <x:v>Urutan final disetujui Direksi dan implikasi venue serta transportasi terdokumentasi.</x:v>
      </x:c>
      <x:c r="G4" s="20" t="str">
        <x:v>PI Group</x:v>
      </x:c>
      <x:c r="H4" s="20" t="str">
        <x:v>Sekretariat &amp; Koordinasi</x:v>
      </x:c>
      <x:c r="I4" s="20" t="str">
        <x:v>Heri Afriadi Aka</x:v>
      </x:c>
      <x:c r="J4" s="20" t="str">
        <x:v>Critical</x:v>
      </x:c>
      <x:c r="K4" s="30" t="n">
        <x:v>46230</x:v>
      </x:c>
      <x:c r="L4" s="30" t="n">
        <x:v>46234</x:v>
      </x:c>
      <x:c r="M4" s="20" t="str">
        <x:v>Menunggu Pihak Lain</x:v>
      </x:c>
      <x:c r="N4" s="31" t="n">
        <x:v>20</x:v>
      </x:c>
      <x:c r="O4" s="20" t="str">
        <x:f>IF(M4="Selesai &amp; Terverifikasi","Ready",IF(M4="Terkendala","Not Ready",IF(AND(J4="Critical",L4&lt;=TODAY()+3,N4&lt;100),"At Risk","In Progress")))</x:f>
        <x:v>In Progress</x:v>
      </x:c>
      <x:c r="P4" s="20" t="str">
        <x:v>Alternatif Raker sebelum Plenary masih terbuka.</x:v>
      </x:c>
      <x:c r="Q4" s="20" t="str">
        <x:v>Minta keputusan dalam rapat BOD/koordinasi berikutnya.</x:v>
      </x:c>
      <x:c r="R4" s="20" t="str"/>
      <x:c r="S4" s="20" t="str">
        <x:v>Initial Setup</x:v>
      </x:c>
      <x:c r="T4" s="32" t="n">
        <x:v>46229.833333333336</x:v>
      </x:c>
      <x:c r="U4" s="20" t="str"/>
      <x:c r="V4" s="20" t="str">
        <x:v>Belum Diverifikasi</x:v>
      </x:c>
      <x:c r="W4" s="20" t="str"/>
      <x:c r="X4" s="20" t="str"/>
      <x:c r="Y4" s="20" t="str">
        <x:v>Ya</x:v>
      </x:c>
      <x:c r="Z4" s="20" t="str">
        <x:v>Semua</x:v>
      </x:c>
      <x:c r="AA4" s="33" t="n">
        <x:f>IF(L4="","",L4-TODAY())</x:f>
        <x:v>5</x:v>
      </x:c>
      <x:c r="AB4" s="20" t="str">
        <x:f>IF(AND(L4&lt;&gt;"",L4&lt;TODAY(),M4&lt;&gt;"Selesai &amp; Terverifikasi",M4&lt;&gt;"Tidak Berlaku"),"OVERDUE","")</x:f>
      </x:c>
      <x:c r="AC4" s="20" t="n">
        <x:f>IF(J4="Critical",4,IF(J4="High",3,IF(J4="Medium",2,1)))</x:f>
        <x:v>4</x:v>
      </x:c>
      <x:c r="AD4" s="20" t="n">
        <x:f>N4*AC4</x:f>
        <x:v>80</x:v>
      </x:c>
    </x:row>
    <x:row r="5">
      <x:c r="A5" s="20" t="str">
        <x:v>TSK-004</x:v>
      </x:c>
      <x:c r="B5" s="20" t="str">
        <x:v>EVT-GEN</x:v>
      </x:c>
      <x:c r="C5" s="20" t="str"/>
      <x:c r="D5" s="20" t="str">
        <x:v>Governance</x:v>
      </x:c>
      <x:c r="E5" s="20" t="str">
        <x:v>Finalisasi struktur panitia dan Ketua Bidang</x:v>
      </x:c>
      <x:c r="F5" s="20" t="str">
        <x:v>Semua bidang, ketua, anggota dan kontak dikonfirmasi.</x:v>
      </x:c>
      <x:c r="G5" s="20" t="str">
        <x:v>PIM</x:v>
      </x:c>
      <x:c r="H5" s="20" t="str">
        <x:v>Sekretariat &amp; Koordinasi</x:v>
      </x:c>
      <x:c r="I5" s="20" t="str">
        <x:v>Osman M Saftari</x:v>
      </x:c>
      <x:c r="J5" s="20" t="str">
        <x:v>Critical</x:v>
      </x:c>
      <x:c r="K5" s="30" t="n">
        <x:v>46230</x:v>
      </x:c>
      <x:c r="L5" s="30" t="n">
        <x:v>46233</x:v>
      </x:c>
      <x:c r="M5" s="20" t="str">
        <x:v>Sedang Berjalan</x:v>
      </x:c>
      <x:c r="N5" s="31" t="n">
        <x:v>40</x:v>
      </x:c>
      <x:c r="O5" s="20" t="str">
        <x:f>IF(M5="Selesai &amp; Terverifikasi","Ready",IF(M5="Terkendala","Not Ready",IF(AND(J5="Critical",L5&lt;=TODAY()+3,N5&lt;100),"At Risk","In Progress")))</x:f>
        <x:v>In Progress</x:v>
      </x:c>
      <x:c r="P5" s="20" t="str">
        <x:v>Referensi MD belum disesuaikan penuh untuk Raker, Plenary dan akomodasi.</x:v>
      </x:c>
      <x:c r="Q5" s="20" t="str">
        <x:v>Konfirmasi ke Ketua Panitia dan Ketua Bidang.</x:v>
      </x:c>
      <x:c r="R5" s="20" t="str">
        <x:v>Osman M Saftari</x:v>
      </x:c>
      <x:c r="S5" s="20" t="str">
        <x:v>Initial Setup</x:v>
      </x:c>
      <x:c r="T5" s="32" t="n">
        <x:v>46229.833333333336</x:v>
      </x:c>
      <x:c r="U5" s="20" t="str"/>
      <x:c r="V5" s="20" t="str">
        <x:v>Belum Diverifikasi</x:v>
      </x:c>
      <x:c r="W5" s="20" t="str"/>
      <x:c r="X5" s="20" t="str">
        <x:v>MD HUT dan Rakor digunakan sebagai referensi awal.</x:v>
      </x:c>
      <x:c r="Y5" s="20" t="str">
        <x:v>Ya</x:v>
      </x:c>
      <x:c r="Z5" s="20" t="str">
        <x:v>Semua</x:v>
      </x:c>
      <x:c r="AA5" s="33" t="n">
        <x:f>IF(L5="","",L5-TODAY())</x:f>
        <x:v>4</x:v>
      </x:c>
      <x:c r="AB5" s="20" t="str">
        <x:f>IF(AND(L5&lt;&gt;"",L5&lt;TODAY(),M5&lt;&gt;"Selesai &amp; Terverifikasi",M5&lt;&gt;"Tidak Berlaku"),"OVERDUE","")</x:f>
      </x:c>
      <x:c r="AC5" s="20" t="n">
        <x:f>IF(J5="Critical",4,IF(J5="High",3,IF(J5="Medium",2,1)))</x:f>
        <x:v>4</x:v>
      </x:c>
      <x:c r="AD5" s="20" t="n">
        <x:f>N5*AC5</x:f>
        <x:v>160</x:v>
      </x:c>
    </x:row>
    <x:row r="6">
      <x:c r="A6" s="20" t="str">
        <x:v>TSK-005</x:v>
      </x:c>
      <x:c r="B6" s="20" t="str">
        <x:v>EVT-GEN</x:v>
      </x:c>
      <x:c r="C6" s="20" t="str"/>
      <x:c r="D6" s="20" t="str">
        <x:v>EO Coordination</x:v>
      </x:c>
      <x:c r="E6" s="20" t="str">
        <x:v>Finalisasi matriks pembagian scope PIM–EO–PI Group</x:v>
      </x:c>
      <x:c r="F6" s="20" t="str">
        <x:v>Setiap deliverable memiliki scope owner, batas kerja dan kriteria serah terima.</x:v>
      </x:c>
      <x:c r="G6" s="20" t="str">
        <x:v>Shared</x:v>
      </x:c>
      <x:c r="H6" s="20" t="str">
        <x:v>EO Coordination</x:v>
      </x:c>
      <x:c r="I6" s="20" t="str">
        <x:v>Heri Afriadi Aka</x:v>
      </x:c>
      <x:c r="J6" s="20" t="str">
        <x:v>Critical</x:v>
      </x:c>
      <x:c r="K6" s="30" t="n">
        <x:v>46230</x:v>
      </x:c>
      <x:c r="L6" s="30" t="n">
        <x:v>46233</x:v>
      </x:c>
      <x:c r="M6" s="20" t="str">
        <x:v>Belum Dimulai</x:v>
      </x:c>
      <x:c r="N6" s="31" t="n">
        <x:v>0</x:v>
      </x:c>
      <x:c r="O6" s="20" t="str">
        <x:f>IF(M6="Selesai &amp; Terverifikasi","Ready",IF(M6="Terkendala","Not Ready",IF(AND(J6="Critical",L6&lt;=TODAY()+3,N6&lt;100),"At Risk","In Progress")))</x:f>
        <x:v>In Progress</x:v>
      </x:c>
      <x:c r="P6" s="20" t="str">
        <x:v>Scope EO belum tersedia.</x:v>
      </x:c>
      <x:c r="Q6" s="20" t="str">
        <x:v>Masukkan proposal/kontrak EO dan lakukan scope review.</x:v>
      </x:c>
      <x:c r="R6" s="20" t="str"/>
      <x:c r="S6" s="20" t="str">
        <x:v>Initial Setup</x:v>
      </x:c>
      <x:c r="T6" s="32" t="n">
        <x:v>46229.833333333336</x:v>
      </x:c>
      <x:c r="U6" s="20" t="str"/>
      <x:c r="V6" s="20" t="str">
        <x:v>Belum Diverifikasi</x:v>
      </x:c>
      <x:c r="W6" s="20" t="str"/>
      <x:c r="X6" s="20" t="str"/>
      <x:c r="Y6" s="20" t="str">
        <x:v>Ya</x:v>
      </x:c>
      <x:c r="Z6" s="20" t="str">
        <x:v>Semua</x:v>
      </x:c>
      <x:c r="AA6" s="33" t="n">
        <x:f>IF(L6="","",L6-TODAY())</x:f>
        <x:v>4</x:v>
      </x:c>
      <x:c r="AB6" s="20" t="str">
        <x:f>IF(AND(L6&lt;&gt;"",L6&lt;TODAY(),M6&lt;&gt;"Selesai &amp; Terverifikasi",M6&lt;&gt;"Tidak Berlaku"),"OVERDUE","")</x:f>
      </x:c>
      <x:c r="AC6" s="20" t="n">
        <x:f>IF(J6="Critical",4,IF(J6="High",3,IF(J6="Medium",2,1)))</x:f>
        <x:v>4</x:v>
      </x:c>
      <x:c r="AD6" s="20" t="n">
        <x:f>N6*AC6</x:f>
        <x:v>0</x:v>
      </x:c>
    </x:row>
    <x:row r="7">
      <x:c r="A7" s="20" t="str">
        <x:v>TSK-006</x:v>
      </x:c>
      <x:c r="B7" s="20" t="str">
        <x:v>EVT-GEN</x:v>
      </x:c>
      <x:c r="C7" s="20" t="str"/>
      <x:c r="D7" s="20" t="str">
        <x:v>Guest Management</x:v>
      </x:c>
      <x:c r="E7" s="20" t="str">
        <x:v>Finalisasi daftar tamu dan headcount per kegiatan</x:v>
      </x:c>
      <x:c r="F7" s="20" t="str">
        <x:v>Jumlah VIP, undangan, panitia dan pendamping tervalidasi untuk setiap sesi.</x:v>
      </x:c>
      <x:c r="G7" s="20" t="str">
        <x:v>PI Group</x:v>
      </x:c>
      <x:c r="H7" s="20" t="str">
        <x:v>LO &amp; Protokol</x:v>
      </x:c>
      <x:c r="I7" s="20" t="str">
        <x:v>Fahirul Muhar</x:v>
      </x:c>
      <x:c r="J7" s="20" t="str">
        <x:v>Critical</x:v>
      </x:c>
      <x:c r="K7" s="30" t="n">
        <x:v>46230</x:v>
      </x:c>
      <x:c r="L7" s="30" t="n">
        <x:v>46235</x:v>
      </x:c>
      <x:c r="M7" s="20" t="str">
        <x:v>Sedang Berjalan</x:v>
      </x:c>
      <x:c r="N7" s="31" t="n">
        <x:v>50</x:v>
      </x:c>
      <x:c r="O7" s="20" t="str">
        <x:f>IF(M7="Selesai &amp; Terverifikasi","Ready",IF(M7="Terkendala","Not Ready",IF(AND(J7="Critical",L7&lt;=TODAY()+3,N7&lt;100),"At Risk","In Progress")))</x:f>
        <x:v>In Progress</x:v>
      </x:c>
      <x:c r="P7" s="20" t="str">
        <x:v>Daftar peserta final belum diterima.</x:v>
      </x:c>
      <x:c r="Q7" s="20" t="str">
        <x:v>Konsolidasi undangan dan konfirmasi kehadiran.</x:v>
      </x:c>
      <x:c r="R7" s="20" t="str"/>
      <x:c r="S7" s="20" t="str">
        <x:v>Initial Setup</x:v>
      </x:c>
      <x:c r="T7" s="32" t="n">
        <x:v>46229.833333333336</x:v>
      </x:c>
      <x:c r="U7" s="20" t="str"/>
      <x:c r="V7" s="20" t="str">
        <x:v>Belum Diverifikasi</x:v>
      </x:c>
      <x:c r="W7" s="20" t="str"/>
      <x:c r="X7" s="20" t="str"/>
      <x:c r="Y7" s="20" t="str">
        <x:v>Ya</x:v>
      </x:c>
      <x:c r="Z7" s="20" t="str">
        <x:v>Semua</x:v>
      </x:c>
      <x:c r="AA7" s="33" t="n">
        <x:f>IF(L7="","",L7-TODAY())</x:f>
        <x:v>6</x:v>
      </x:c>
      <x:c r="AB7" s="20" t="str">
        <x:f>IF(AND(L7&lt;&gt;"",L7&lt;TODAY(),M7&lt;&gt;"Selesai &amp; Terverifikasi",M7&lt;&gt;"Tidak Berlaku"),"OVERDUE","")</x:f>
      </x:c>
      <x:c r="AC7" s="20" t="n">
        <x:f>IF(J7="Critical",4,IF(J7="High",3,IF(J7="Medium",2,1)))</x:f>
        <x:v>4</x:v>
      </x:c>
      <x:c r="AD7" s="20" t="n">
        <x:f>N7*AC7</x:f>
        <x:v>200</x:v>
      </x:c>
    </x:row>
    <x:row r="8">
      <x:c r="A8" s="20" t="str">
        <x:v>TSK-007</x:v>
      </x:c>
      <x:c r="B8" s="20" t="str">
        <x:v>EVT-GEN</x:v>
      </x:c>
      <x:c r="C8" s="20" t="str"/>
      <x:c r="D8" s="20" t="str">
        <x:v>Governance</x:v>
      </x:c>
      <x:c r="E8" s="20" t="str">
        <x:v>Susun master contact directory</x:v>
      </x:c>
      <x:c r="F8" s="20" t="str">
        <x:v>Kontak PIC PIM, PI Group, EO, vendor, driver, hotel, keamanan dan medis tersedia.</x:v>
      </x:c>
      <x:c r="G8" s="20" t="str">
        <x:v>PIM</x:v>
      </x:c>
      <x:c r="H8" s="20" t="str">
        <x:v>Sekretariat &amp; Koordinasi</x:v>
      </x:c>
      <x:c r="I8" s="20" t="str">
        <x:v>Osman M Saftari</x:v>
      </x:c>
      <x:c r="J8" s="20" t="str">
        <x:v>High</x:v>
      </x:c>
      <x:c r="K8" s="30" t="n">
        <x:v>46230</x:v>
      </x:c>
      <x:c r="L8" s="30" t="n">
        <x:v>46235</x:v>
      </x:c>
      <x:c r="M8" s="20" t="str">
        <x:v>Belum Dimulai</x:v>
      </x:c>
      <x:c r="N8" s="31" t="n">
        <x:v>0</x:v>
      </x:c>
      <x:c r="O8" s="20" t="str">
        <x:f>IF(M8="Selesai &amp; Terverifikasi","Ready",IF(M8="Terkendala","Not Ready",IF(AND(J8="Critical",L8&lt;=TODAY()+3,N8&lt;100),"At Risk","In Progress")))</x:f>
        <x:v>In Progress</x:v>
      </x:c>
      <x:c r="P8" s="20" t="str"/>
      <x:c r="Q8" s="20" t="str">
        <x:v>Kumpulkan nomor telepon dan email.</x:v>
      </x:c>
      <x:c r="R8" s="20" t="str"/>
      <x:c r="S8" s="20" t="str">
        <x:v>Initial Setup</x:v>
      </x:c>
      <x:c r="T8" s="32" t="n">
        <x:v>46229.833333333336</x:v>
      </x:c>
      <x:c r="U8" s="20" t="str"/>
      <x:c r="V8" s="20" t="str">
        <x:v>Belum Diverifikasi</x:v>
      </x:c>
      <x:c r="W8" s="20" t="str"/>
      <x:c r="X8" s="20" t="str">
        <x:v>Tidak dipublikasikan ke PWA.</x:v>
      </x:c>
      <x:c r="Y8" s="20" t="str">
        <x:v>Tidak</x:v>
      </x:c>
      <x:c r="Z8" s="20" t="str">
        <x:v>Semua</x:v>
      </x:c>
      <x:c r="AA8" s="33" t="n">
        <x:f>IF(L8="","",L8-TODAY())</x:f>
        <x:v>6</x:v>
      </x:c>
      <x:c r="AB8" s="20" t="str">
        <x:f>IF(AND(L8&lt;&gt;"",L8&lt;TODAY(),M8&lt;&gt;"Selesai &amp; Terverifikasi",M8&lt;&gt;"Tidak Berlaku"),"OVERDUE","")</x:f>
      </x:c>
      <x:c r="AC8" s="20" t="n">
        <x:f>IF(J8="Critical",4,IF(J8="High",3,IF(J8="Medium",2,1)))</x:f>
        <x:v>3</x:v>
      </x:c>
      <x:c r="AD8" s="20" t="n">
        <x:f>N8*AC8</x:f>
        <x:v>0</x:v>
      </x:c>
    </x:row>
    <x:row r="9">
      <x:c r="A9" s="20" t="str">
        <x:v>TSK-008</x:v>
      </x:c>
      <x:c r="B9" s="20" t="str">
        <x:v>EVT-GEN</x:v>
      </x:c>
      <x:c r="C9" s="20" t="str"/>
      <x:c r="D9" s="20" t="str">
        <x:v>Governance</x:v>
      </x:c>
      <x:c r="E9" s="20" t="str">
        <x:v>Tetapkan jadwal rapat monitoring</x:v>
      </x:c>
      <x:c r="F9" s="20" t="str">
        <x:v>Jadwal rapat, agenda, peserta dan mekanisme update ditetapkan sampai hari H.</x:v>
      </x:c>
      <x:c r="G9" s="20" t="str">
        <x:v>PIM</x:v>
      </x:c>
      <x:c r="H9" s="20" t="str">
        <x:v>Sekretariat &amp; Koordinasi</x:v>
      </x:c>
      <x:c r="I9" s="20" t="str">
        <x:v>Osman M Saftari</x:v>
      </x:c>
      <x:c r="J9" s="20" t="str">
        <x:v>High</x:v>
      </x:c>
      <x:c r="K9" s="30" t="n">
        <x:v>46230</x:v>
      </x:c>
      <x:c r="L9" s="30" t="n">
        <x:v>46231</x:v>
      </x:c>
      <x:c r="M9" s="20" t="str">
        <x:v>Sedang Berjalan</x:v>
      </x:c>
      <x:c r="N9" s="31" t="n">
        <x:v>50</x:v>
      </x:c>
      <x:c r="O9" s="20" t="str">
        <x:f>IF(M9="Selesai &amp; Terverifikasi","Ready",IF(M9="Terkendala","Not Ready",IF(AND(J9="Critical",L9&lt;=TODAY()+3,N9&lt;100),"At Risk","In Progress")))</x:f>
        <x:v>In Progress</x:v>
      </x:c>
      <x:c r="P9" s="20" t="str"/>
      <x:c r="Q9" s="20" t="str">
        <x:v>Tetapkan cadence rapat dan cutoff update.</x:v>
      </x:c>
      <x:c r="R9" s="20" t="str"/>
      <x:c r="S9" s="20" t="str">
        <x:v>Initial Setup</x:v>
      </x:c>
      <x:c r="T9" s="32" t="n">
        <x:v>46229.833333333336</x:v>
      </x:c>
      <x:c r="U9" s="20" t="str"/>
      <x:c r="V9" s="20" t="str">
        <x:v>Belum Diverifikasi</x:v>
      </x:c>
      <x:c r="W9" s="20" t="str"/>
      <x:c r="X9" s="20" t="str"/>
      <x:c r="Y9" s="20" t="str">
        <x:v>Ya</x:v>
      </x:c>
      <x:c r="Z9" s="20" t="str">
        <x:v>Semua</x:v>
      </x:c>
      <x:c r="AA9" s="33" t="n">
        <x:f>IF(L9="","",L9-TODAY())</x:f>
        <x:v>2</x:v>
      </x:c>
      <x:c r="AB9" s="20" t="str">
        <x:f>IF(AND(L9&lt;&gt;"",L9&lt;TODAY(),M9&lt;&gt;"Selesai &amp; Terverifikasi",M9&lt;&gt;"Tidak Berlaku"),"OVERDUE","")</x:f>
      </x:c>
      <x:c r="AC9" s="20" t="n">
        <x:f>IF(J9="Critical",4,IF(J9="High",3,IF(J9="Medium",2,1)))</x:f>
        <x:v>3</x:v>
      </x:c>
      <x:c r="AD9" s="20" t="n">
        <x:f>N9*AC9</x:f>
        <x:v>150</x:v>
      </x:c>
    </x:row>
    <x:row r="10">
      <x:c r="A10" s="20" t="str">
        <x:v>TSK-009</x:v>
      </x:c>
      <x:c r="B10" s="20" t="str">
        <x:v>EVT-GEN</x:v>
      </x:c>
      <x:c r="C10" s="20" t="str"/>
      <x:c r="D10" s="20" t="str">
        <x:v>Governance</x:v>
      </x:c>
      <x:c r="E10" s="20" t="str">
        <x:v>Buat register isu dan keputusan</x:v>
      </x:c>
      <x:c r="F10" s="20" t="str">
        <x:v>Semua isu kritis memiliki owner, due date, dampak dan keputusan.</x:v>
      </x:c>
      <x:c r="G10" s="20" t="str">
        <x:v>PIM</x:v>
      </x:c>
      <x:c r="H10" s="20" t="str">
        <x:v>Sekretariat &amp; Koordinasi</x:v>
      </x:c>
      <x:c r="I10" s="20" t="str">
        <x:v>Osman M Saftari</x:v>
      </x:c>
      <x:c r="J10" s="20" t="str">
        <x:v>High</x:v>
      </x:c>
      <x:c r="K10" s="30" t="n">
        <x:v>46230</x:v>
      </x:c>
      <x:c r="L10" s="30" t="n">
        <x:v>46231</x:v>
      </x:c>
      <x:c r="M10" s="20" t="str">
        <x:v>Sedang Berjalan</x:v>
      </x:c>
      <x:c r="N10" s="31" t="n">
        <x:v>30</x:v>
      </x:c>
      <x:c r="O10" s="20" t="str">
        <x:f>IF(M10="Selesai &amp; Terverifikasi","Ready",IF(M10="Terkendala","Not Ready",IF(AND(J10="Critical",L10&lt;=TODAY()+3,N10&lt;100),"At Risk","In Progress")))</x:f>
        <x:v>In Progress</x:v>
      </x:c>
      <x:c r="P10" s="20" t="str"/>
      <x:c r="Q10" s="20" t="str">
        <x:v>Masukkan isu awal dari deck dan hasil rapat.</x:v>
      </x:c>
      <x:c r="R10" s="20" t="str"/>
      <x:c r="S10" s="20" t="str">
        <x:v>Initial Setup</x:v>
      </x:c>
      <x:c r="T10" s="32" t="n">
        <x:v>46229.833333333336</x:v>
      </x:c>
      <x:c r="U10" s="20" t="str"/>
      <x:c r="V10" s="20" t="str">
        <x:v>Belum Diverifikasi</x:v>
      </x:c>
      <x:c r="W10" s="20" t="str"/>
      <x:c r="X10" s="20" t="str"/>
      <x:c r="Y10" s="20" t="str">
        <x:v>Ya</x:v>
      </x:c>
      <x:c r="Z10" s="20" t="str">
        <x:v>Semua</x:v>
      </x:c>
      <x:c r="AA10" s="33" t="n">
        <x:f>IF(L10="","",L10-TODAY())</x:f>
        <x:v>2</x:v>
      </x:c>
      <x:c r="AB10" s="20" t="str">
        <x:f>IF(AND(L10&lt;&gt;"",L10&lt;TODAY(),M10&lt;&gt;"Selesai &amp; Terverifikasi",M10&lt;&gt;"Tidak Berlaku"),"OVERDUE","")</x:f>
      </x:c>
      <x:c r="AC10" s="20" t="n">
        <x:f>IF(J10="Critical",4,IF(J10="High",3,IF(J10="Medium",2,1)))</x:f>
        <x:v>3</x:v>
      </x:c>
      <x:c r="AD10" s="20" t="n">
        <x:f>N10*AC10</x:f>
        <x:v>90</x:v>
      </x:c>
    </x:row>
    <x:row r="11">
      <x:c r="A11" s="20" t="str">
        <x:v>TSK-010</x:v>
      </x:c>
      <x:c r="B11" s="20" t="str">
        <x:v>EVT-GEN</x:v>
      </x:c>
      <x:c r="C11" s="20" t="str"/>
      <x:c r="D11" s="20" t="str">
        <x:v>Finance &amp; Procurement</x:v>
      </x:c>
      <x:c r="E11" s="20" t="str">
        <x:v>Finalisasi anggaran dan otorisasi biaya</x:v>
      </x:c>
      <x:c r="F11" s="20" t="str">
        <x:v>Anggaran per bidang disetujui dan sumber biaya jelas.</x:v>
      </x:c>
      <x:c r="G11" s="20" t="str">
        <x:v>PIM</x:v>
      </x:c>
      <x:c r="H11" s="20" t="str">
        <x:v>Finance &amp; Procurement</x:v>
      </x:c>
      <x:c r="I11" s="20" t="str">
        <x:v>Noviana Putri</x:v>
      </x:c>
      <x:c r="J11" s="20" t="str">
        <x:v>Critical</x:v>
      </x:c>
      <x:c r="K11" s="30" t="n">
        <x:v>46230</x:v>
      </x:c>
      <x:c r="L11" s="30" t="n">
        <x:v>46235</x:v>
      </x:c>
      <x:c r="M11" s="20" t="str">
        <x:v>Belum Dimulai</x:v>
      </x:c>
      <x:c r="N11" s="31" t="n">
        <x:v>0</x:v>
      </x:c>
      <x:c r="O11" s="20" t="str">
        <x:f>IF(M11="Selesai &amp; Terverifikasi","Ready",IF(M11="Terkendala","Not Ready",IF(AND(J11="Critical",L11&lt;=TODAY()+3,N11&lt;100),"At Risk","In Progress")))</x:f>
        <x:v>In Progress</x:v>
      </x:c>
      <x:c r="P11" s="20" t="str"/>
      <x:c r="Q11" s="20" t="str">
        <x:v>Kompilasi kebutuhan dari semua bidang dan EO.</x:v>
      </x:c>
      <x:c r="R11" s="20" t="str"/>
      <x:c r="S11" s="20" t="str">
        <x:v>Initial Setup</x:v>
      </x:c>
      <x:c r="T11" s="32" t="n">
        <x:v>46229.833333333336</x:v>
      </x:c>
      <x:c r="U11" s="20" t="str"/>
      <x:c r="V11" s="20" t="str">
        <x:v>Belum Diverifikasi</x:v>
      </x:c>
      <x:c r="W11" s="20" t="str"/>
      <x:c r="X11" s="20" t="str"/>
      <x:c r="Y11" s="20" t="str">
        <x:v>Ya</x:v>
      </x:c>
      <x:c r="Z11" s="20" t="str">
        <x:v>Semua</x:v>
      </x:c>
      <x:c r="AA11" s="33" t="n">
        <x:f>IF(L11="","",L11-TODAY())</x:f>
        <x:v>6</x:v>
      </x:c>
      <x:c r="AB11" s="20" t="str">
        <x:f>IF(AND(L11&lt;&gt;"",L11&lt;TODAY(),M11&lt;&gt;"Selesai &amp; Terverifikasi",M11&lt;&gt;"Tidak Berlaku"),"OVERDUE","")</x:f>
      </x:c>
      <x:c r="AC11" s="20" t="n">
        <x:f>IF(J11="Critical",4,IF(J11="High",3,IF(J11="Medium",2,1)))</x:f>
        <x:v>4</x:v>
      </x:c>
      <x:c r="AD11" s="20" t="n">
        <x:f>N11*AC11</x:f>
        <x:v>0</x:v>
      </x:c>
    </x:row>
    <x:row r="12">
      <x:c r="A12" s="20" t="str">
        <x:v>TSK-011</x:v>
      </x:c>
      <x:c r="B12" s="20" t="str">
        <x:v>EVT-GEN</x:v>
      </x:c>
      <x:c r="C12" s="20" t="str"/>
      <x:c r="D12" s="20" t="str">
        <x:v>Finance &amp; Procurement</x:v>
      </x:c>
      <x:c r="E12" s="20" t="str">
        <x:v>Finalisasi kontrak/PO vendor dan EO</x:v>
      </x:c>
      <x:c r="F12" s="20" t="str">
        <x:v>Seluruh pekerjaan kritis memiliki dasar kontraktual dan jadwal pelaksanaan.</x:v>
      </x:c>
      <x:c r="G12" s="20" t="str">
        <x:v>PIM</x:v>
      </x:c>
      <x:c r="H12" s="20" t="str">
        <x:v>Finance &amp; Procurement</x:v>
      </x:c>
      <x:c r="I12" s="20" t="str">
        <x:v>Noviana Putri</x:v>
      </x:c>
      <x:c r="J12" s="20" t="str">
        <x:v>Critical</x:v>
      </x:c>
      <x:c r="K12" s="30" t="n">
        <x:v>46230</x:v>
      </x:c>
      <x:c r="L12" s="30" t="n">
        <x:v>46236</x:v>
      </x:c>
      <x:c r="M12" s="20" t="str">
        <x:v>Belum Dimulai</x:v>
      </x:c>
      <x:c r="N12" s="31" t="n">
        <x:v>0</x:v>
      </x:c>
      <x:c r="O12" s="20" t="str">
        <x:f>IF(M12="Selesai &amp; Terverifikasi","Ready",IF(M12="Terkendala","Not Ready",IF(AND(J12="Critical",L12&lt;=TODAY()+3,N12&lt;100),"At Risk","In Progress")))</x:f>
        <x:v>In Progress</x:v>
      </x:c>
      <x:c r="P12" s="20" t="str"/>
      <x:c r="Q12" s="20" t="str">
        <x:v>Review PO/kontrak dan titik handover.</x:v>
      </x:c>
      <x:c r="R12" s="20" t="str"/>
      <x:c r="S12" s="20" t="str">
        <x:v>Initial Setup</x:v>
      </x:c>
      <x:c r="T12" s="32" t="n">
        <x:v>46229.833333333336</x:v>
      </x:c>
      <x:c r="U12" s="20" t="str"/>
      <x:c r="V12" s="20" t="str">
        <x:v>Belum Diverifikasi</x:v>
      </x:c>
      <x:c r="W12" s="20" t="str"/>
      <x:c r="X12" s="20" t="str"/>
      <x:c r="Y12" s="20" t="str">
        <x:v>Ya</x:v>
      </x:c>
      <x:c r="Z12" s="20" t="str">
        <x:v>Semua</x:v>
      </x:c>
      <x:c r="AA12" s="33" t="n">
        <x:f>IF(L12="","",L12-TODAY())</x:f>
        <x:v>7</x:v>
      </x:c>
      <x:c r="AB12" s="20" t="str">
        <x:f>IF(AND(L12&lt;&gt;"",L12&lt;TODAY(),M12&lt;&gt;"Selesai &amp; Terverifikasi",M12&lt;&gt;"Tidak Berlaku"),"OVERDUE","")</x:f>
      </x:c>
      <x:c r="AC12" s="20" t="n">
        <x:f>IF(J12="Critical",4,IF(J12="High",3,IF(J12="Medium",2,1)))</x:f>
        <x:v>4</x:v>
      </x:c>
      <x:c r="AD12" s="20" t="n">
        <x:f>N12*AC12</x:f>
        <x:v>0</x:v>
      </x:c>
    </x:row>
    <x:row r="13">
      <x:c r="A13" s="20" t="str">
        <x:v>TSK-012</x:v>
      </x:c>
      <x:c r="B13" s="20" t="str">
        <x:v>EVT-GEN</x:v>
      </x:c>
      <x:c r="C13" s="20" t="str"/>
      <x:c r="D13" s="20" t="str">
        <x:v>Risk &amp; HSE</x:v>
      </x:c>
      <x:c r="E13" s="20" t="str">
        <x:v>Buat risk register acara</x:v>
      </x:c>
      <x:c r="F13" s="20" t="str">
        <x:v>Risiko cuaca, venue, penerbangan, listrik, keamanan, kesehatan dan jadwal dinilai.</x:v>
      </x:c>
      <x:c r="G13" s="20" t="str">
        <x:v>PIM</x:v>
      </x:c>
      <x:c r="H13" s="20" t="str">
        <x:v>Keamanan</x:v>
      </x:c>
      <x:c r="I13" s="20" t="str">
        <x:v>Hasanuddin</x:v>
      </x:c>
      <x:c r="J13" s="20" t="str">
        <x:v>High</x:v>
      </x:c>
      <x:c r="K13" s="30" t="n">
        <x:v>46230</x:v>
      </x:c>
      <x:c r="L13" s="30" t="n">
        <x:v>46236</x:v>
      </x:c>
      <x:c r="M13" s="20" t="str">
        <x:v>Belum Dimulai</x:v>
      </x:c>
      <x:c r="N13" s="31" t="n">
        <x:v>0</x:v>
      </x:c>
      <x:c r="O13" s="20" t="str">
        <x:f>IF(M13="Selesai &amp; Terverifikasi","Ready",IF(M13="Terkendala","Not Ready",IF(AND(J13="Critical",L13&lt;=TODAY()+3,N13&lt;100),"At Risk","In Progress")))</x:f>
        <x:v>In Progress</x:v>
      </x:c>
      <x:c r="P13" s="20" t="str"/>
      <x:c r="Q13" s="20" t="str">
        <x:v>Lakukan workshop risiko lintas bidang.</x:v>
      </x:c>
      <x:c r="R13" s="20" t="str"/>
      <x:c r="S13" s="20" t="str">
        <x:v>Initial Setup</x:v>
      </x:c>
      <x:c r="T13" s="32" t="n">
        <x:v>46229.833333333336</x:v>
      </x:c>
      <x:c r="U13" s="20" t="str"/>
      <x:c r="V13" s="20" t="str">
        <x:v>Belum Diverifikasi</x:v>
      </x:c>
      <x:c r="W13" s="20" t="str"/>
      <x:c r="X13" s="20" t="str"/>
      <x:c r="Y13" s="20" t="str">
        <x:v>Ya</x:v>
      </x:c>
      <x:c r="Z13" s="20" t="str">
        <x:v>Semua</x:v>
      </x:c>
      <x:c r="AA13" s="33" t="n">
        <x:f>IF(L13="","",L13-TODAY())</x:f>
        <x:v>7</x:v>
      </x:c>
      <x:c r="AB13" s="20" t="str">
        <x:f>IF(AND(L13&lt;&gt;"",L13&lt;TODAY(),M13&lt;&gt;"Selesai &amp; Terverifikasi",M13&lt;&gt;"Tidak Berlaku"),"OVERDUE","")</x:f>
      </x:c>
      <x:c r="AC13" s="20" t="n">
        <x:f>IF(J13="Critical",4,IF(J13="High",3,IF(J13="Medium",2,1)))</x:f>
        <x:v>3</x:v>
      </x:c>
      <x:c r="AD13" s="20" t="n">
        <x:f>N13*AC13</x:f>
        <x:v>0</x:v>
      </x:c>
    </x:row>
    <x:row r="14">
      <x:c r="A14" s="20" t="str">
        <x:v>TSK-013</x:v>
      </x:c>
      <x:c r="B14" s="20" t="str">
        <x:v>EVT-GEN</x:v>
      </x:c>
      <x:c r="C14" s="20" t="str"/>
      <x:c r="D14" s="20" t="str">
        <x:v>Governance</x:v>
      </x:c>
      <x:c r="E14" s="20" t="str">
        <x:v>Tetapkan command center hari H</x:v>
      </x:c>
      <x:c r="F14" s="20" t="str">
        <x:v>Lokasi, personel, kanal komunikasi, shift dan escalation tree ditetapkan.</x:v>
      </x:c>
      <x:c r="G14" s="20" t="str">
        <x:v>PIM</x:v>
      </x:c>
      <x:c r="H14" s="20" t="str">
        <x:v>Sekretariat &amp; Koordinasi</x:v>
      </x:c>
      <x:c r="I14" s="20" t="str">
        <x:v>Osman M Saftari</x:v>
      </x:c>
      <x:c r="J14" s="20" t="str">
        <x:v>Critical</x:v>
      </x:c>
      <x:c r="K14" s="30" t="n">
        <x:v>46235</x:v>
      </x:c>
      <x:c r="L14" s="30" t="n">
        <x:v>46241</x:v>
      </x:c>
      <x:c r="M14" s="20" t="str">
        <x:v>Belum Dimulai</x:v>
      </x:c>
      <x:c r="N14" s="31" t="n">
        <x:v>0</x:v>
      </x:c>
      <x:c r="O14" s="20" t="str">
        <x:f>IF(M14="Selesai &amp; Terverifikasi","Ready",IF(M14="Terkendala","Not Ready",IF(AND(J14="Critical",L14&lt;=TODAY()+3,N14&lt;100),"At Risk","In Progress")))</x:f>
        <x:v>In Progress</x:v>
      </x:c>
      <x:c r="P14" s="20" t="str"/>
      <x:c r="Q14" s="20" t="str">
        <x:v>Tentukan ruang command center dan roster.</x:v>
      </x:c>
      <x:c r="R14" s="20" t="str"/>
      <x:c r="S14" s="20" t="str">
        <x:v>Initial Setup</x:v>
      </x:c>
      <x:c r="T14" s="32" t="n">
        <x:v>46229.833333333336</x:v>
      </x:c>
      <x:c r="U14" s="20" t="str"/>
      <x:c r="V14" s="20" t="str">
        <x:v>Belum Diverifikasi</x:v>
      </x:c>
      <x:c r="W14" s="20" t="str"/>
      <x:c r="X14" s="20" t="str"/>
      <x:c r="Y14" s="20" t="str">
        <x:v>Ya</x:v>
      </x:c>
      <x:c r="Z14" s="20" t="str">
        <x:v>Semua</x:v>
      </x:c>
      <x:c r="AA14" s="33" t="n">
        <x:f>IF(L14="","",L14-TODAY())</x:f>
        <x:v>12</x:v>
      </x:c>
      <x:c r="AB14" s="20" t="str">
        <x:f>IF(AND(L14&lt;&gt;"",L14&lt;TODAY(),M14&lt;&gt;"Selesai &amp; Terverifikasi",M14&lt;&gt;"Tidak Berlaku"),"OVERDUE","")</x:f>
      </x:c>
      <x:c r="AC14" s="20" t="n">
        <x:f>IF(J14="Critical",4,IF(J14="High",3,IF(J14="Medium",2,1)))</x:f>
        <x:v>4</x:v>
      </x:c>
      <x:c r="AD14" s="20" t="n">
        <x:f>N14*AC14</x:f>
        <x:v>0</x:v>
      </x:c>
    </x:row>
    <x:row r="15">
      <x:c r="A15" s="20" t="str">
        <x:v>TSK-014</x:v>
      </x:c>
      <x:c r="B15" s="20" t="str">
        <x:v>EVT-GEN</x:v>
      </x:c>
      <x:c r="C15" s="20" t="str"/>
      <x:c r="D15" s="20" t="str">
        <x:v>Governance</x:v>
      </x:c>
      <x:c r="E15" s="20" t="str">
        <x:v>Final readiness review H-3</x:v>
      </x:c>
      <x:c r="F15" s="20" t="str">
        <x:v>Semua tugas kritis direview dan gap memiliki recovery plan.</x:v>
      </x:c>
      <x:c r="G15" s="20" t="str">
        <x:v>Shared</x:v>
      </x:c>
      <x:c r="H15" s="20" t="str">
        <x:v>Sekretariat &amp; Koordinasi</x:v>
      </x:c>
      <x:c r="I15" s="20" t="str">
        <x:v>Heri Afriadi Aka</x:v>
      </x:c>
      <x:c r="J15" s="20" t="str">
        <x:v>Critical</x:v>
      </x:c>
      <x:c r="K15" s="30" t="n">
        <x:v>46240</x:v>
      </x:c>
      <x:c r="L15" s="30" t="n">
        <x:v>46241</x:v>
      </x:c>
      <x:c r="M15" s="20" t="str">
        <x:v>Belum Dimulai</x:v>
      </x:c>
      <x:c r="N15" s="31" t="n">
        <x:v>0</x:v>
      </x:c>
      <x:c r="O15" s="20" t="str">
        <x:f>IF(M15="Selesai &amp; Terverifikasi","Ready",IF(M15="Terkendala","Not Ready",IF(AND(J15="Critical",L15&lt;=TODAY()+3,N15&lt;100),"At Risk","In Progress")))</x:f>
        <x:v>In Progress</x:v>
      </x:c>
      <x:c r="P15" s="20" t="str"/>
      <x:c r="Q15" s="20" t="str">
        <x:v>Jadwalkan rapat final H-3.</x:v>
      </x:c>
      <x:c r="R15" s="20" t="str"/>
      <x:c r="S15" s="20" t="str">
        <x:v>Initial Setup</x:v>
      </x:c>
      <x:c r="T15" s="32" t="n">
        <x:v>46229.833333333336</x:v>
      </x:c>
      <x:c r="U15" s="20" t="str"/>
      <x:c r="V15" s="20" t="str">
        <x:v>Belum Diverifikasi</x:v>
      </x:c>
      <x:c r="W15" s="20" t="str"/>
      <x:c r="X15" s="20" t="str"/>
      <x:c r="Y15" s="20" t="str">
        <x:v>Ya</x:v>
      </x:c>
      <x:c r="Z15" s="20" t="str">
        <x:v>Semua</x:v>
      </x:c>
      <x:c r="AA15" s="33" t="n">
        <x:f>IF(L15="","",L15-TODAY())</x:f>
        <x:v>12</x:v>
      </x:c>
      <x:c r="AB15" s="20" t="str">
        <x:f>IF(AND(L15&lt;&gt;"",L15&lt;TODAY(),M15&lt;&gt;"Selesai &amp; Terverifikasi",M15&lt;&gt;"Tidak Berlaku"),"OVERDUE","")</x:f>
      </x:c>
      <x:c r="AC15" s="20" t="n">
        <x:f>IF(J15="Critical",4,IF(J15="High",3,IF(J15="Medium",2,1)))</x:f>
        <x:v>4</x:v>
      </x:c>
      <x:c r="AD15" s="20" t="n">
        <x:f>N15*AC15</x:f>
        <x:v>0</x:v>
      </x:c>
    </x:row>
    <x:row r="16">
      <x:c r="A16" s="20" t="str">
        <x:v>TSK-015</x:v>
      </x:c>
      <x:c r="B16" s="20" t="str">
        <x:v>EVT-GEN</x:v>
      </x:c>
      <x:c r="C16" s="20" t="str"/>
      <x:c r="D16" s="20" t="str">
        <x:v>Governance</x:v>
      </x:c>
      <x:c r="E16" s="20" t="str">
        <x:v>Final go/no-go review H-1</x:v>
      </x:c>
      <x:c r="F16" s="20" t="str">
        <x:v>Venue, transportasi, akomodasi, konsumsi, keamanan dan acara dinyatakan siap.</x:v>
      </x:c>
      <x:c r="G16" s="20" t="str">
        <x:v>Shared</x:v>
      </x:c>
      <x:c r="H16" s="20" t="str">
        <x:v>Sekretariat &amp; Koordinasi</x:v>
      </x:c>
      <x:c r="I16" s="20" t="str">
        <x:v>Heri Afriadi Aka</x:v>
      </x:c>
      <x:c r="J16" s="20" t="str">
        <x:v>Critical</x:v>
      </x:c>
      <x:c r="K16" s="30" t="n">
        <x:v>46242</x:v>
      </x:c>
      <x:c r="L16" s="30" t="n">
        <x:v>46243</x:v>
      </x:c>
      <x:c r="M16" s="20" t="str">
        <x:v>Belum Dimulai</x:v>
      </x:c>
      <x:c r="N16" s="31" t="n">
        <x:v>0</x:v>
      </x:c>
      <x:c r="O16" s="20" t="str">
        <x:f>IF(M16="Selesai &amp; Terverifikasi","Ready",IF(M16="Terkendala","Not Ready",IF(AND(J16="Critical",L16&lt;=TODAY()+3,N16&lt;100),"At Risk","In Progress")))</x:f>
        <x:v>In Progress</x:v>
      </x:c>
      <x:c r="P16" s="20" t="str"/>
      <x:c r="Q16" s="20" t="str">
        <x:v>Siapkan checklist inspeksi terpadu.</x:v>
      </x:c>
      <x:c r="R16" s="20" t="str"/>
      <x:c r="S16" s="20" t="str">
        <x:v>Initial Setup</x:v>
      </x:c>
      <x:c r="T16" s="32" t="n">
        <x:v>46229.833333333336</x:v>
      </x:c>
      <x:c r="U16" s="20" t="str"/>
      <x:c r="V16" s="20" t="str">
        <x:v>Belum Diverifikasi</x:v>
      </x:c>
      <x:c r="W16" s="20" t="str"/>
      <x:c r="X16" s="20" t="str"/>
      <x:c r="Y16" s="20" t="str">
        <x:v>Ya</x:v>
      </x:c>
      <x:c r="Z16" s="20" t="str">
        <x:v>Semua</x:v>
      </x:c>
      <x:c r="AA16" s="33" t="n">
        <x:f>IF(L16="","",L16-TODAY())</x:f>
        <x:v>14</x:v>
      </x:c>
      <x:c r="AB16" s="20" t="str">
        <x:f>IF(AND(L16&lt;&gt;"",L16&lt;TODAY(),M16&lt;&gt;"Selesai &amp; Terverifikasi",M16&lt;&gt;"Tidak Berlaku"),"OVERDUE","")</x:f>
      </x:c>
      <x:c r="AC16" s="20" t="n">
        <x:f>IF(J16="Critical",4,IF(J16="High",3,IF(J16="Medium",2,1)))</x:f>
        <x:v>4</x:v>
      </x:c>
      <x:c r="AD16" s="20" t="n">
        <x:f>N16*AC16</x:f>
        <x:v>0</x:v>
      </x:c>
    </x:row>
    <x:row r="17">
      <x:c r="A17" s="20" t="str">
        <x:v>TSK-016</x:v>
      </x:c>
      <x:c r="B17" s="20" t="str">
        <x:v>EVT-RAKOR</x:v>
      </x:c>
      <x:c r="C17" s="20" t="str">
        <x:v>Ruang Keupula</x:v>
      </x:c>
      <x:c r="D17" s="20" t="str">
        <x:v>Venue &amp; Event</x:v>
      </x:c>
      <x:c r="E17" s="20" t="str">
        <x:v>Konfirmasi penyelesaian renovasi Ruang Keupula</x:v>
      </x:c>
      <x:c r="F17" s="20" t="str">
        <x:v>Ruang selesai, bersih, aman dan dapat digunakan sebelum gladi.</x:v>
      </x:c>
      <x:c r="G17" s="20" t="str">
        <x:v>Shared</x:v>
      </x:c>
      <x:c r="H17" s="20" t="str">
        <x:v>Tempat &amp; Acara</x:v>
      </x:c>
      <x:c r="I17" s="20" t="str">
        <x:v>Zulfajri Ery Syahputra</x:v>
      </x:c>
      <x:c r="J17" s="20" t="str">
        <x:v>Critical</x:v>
      </x:c>
      <x:c r="K17" s="30" t="n">
        <x:v>46230</x:v>
      </x:c>
      <x:c r="L17" s="30" t="n">
        <x:v>46237</x:v>
      </x:c>
      <x:c r="M17" s="20" t="str">
        <x:v>Sedang Berjalan</x:v>
      </x:c>
      <x:c r="N17" s="31" t="n">
        <x:v>50</x:v>
      </x:c>
      <x:c r="O17" s="20" t="str">
        <x:f>IF(M17="Selesai &amp; Terverifikasi","Ready",IF(M17="Terkendala","Not Ready",IF(AND(J17="Critical",L17&lt;=TODAY()+3,N17&lt;100),"At Risk","In Progress")))</x:f>
        <x:v>In Progress</x:v>
      </x:c>
      <x:c r="P17" s="20" t="str">
        <x:v>Tanggal penyelesaian belum dicantumkan.</x:v>
      </x:c>
      <x:c r="Q17" s="20" t="str">
        <x:v>Minta jadwal penyelesaian dan inspeksi bersama.</x:v>
      </x:c>
      <x:c r="R17" s="20" t="str"/>
      <x:c r="S17" s="20" t="str">
        <x:v>Initial Setup</x:v>
      </x:c>
      <x:c r="T17" s="32" t="n">
        <x:v>46229.833333333336</x:v>
      </x:c>
      <x:c r="U17" s="20" t="str"/>
      <x:c r="V17" s="20" t="str">
        <x:v>Belum Diverifikasi</x:v>
      </x:c>
      <x:c r="W17" s="20" t="str"/>
      <x:c r="X17" s="20" t="str"/>
      <x:c r="Y17" s="20" t="str">
        <x:v>Ya</x:v>
      </x:c>
      <x:c r="Z17" s="20" t="str">
        <x:v>A/B/C</x:v>
      </x:c>
      <x:c r="AA17" s="33" t="n">
        <x:f>IF(L17="","",L17-TODAY())</x:f>
        <x:v>8</x:v>
      </x:c>
      <x:c r="AB17" s="20" t="str">
        <x:f>IF(AND(L17&lt;&gt;"",L17&lt;TODAY(),M17&lt;&gt;"Selesai &amp; Terverifikasi",M17&lt;&gt;"Tidak Berlaku"),"OVERDUE","")</x:f>
      </x:c>
      <x:c r="AC17" s="20" t="n">
        <x:f>IF(J17="Critical",4,IF(J17="High",3,IF(J17="Medium",2,1)))</x:f>
        <x:v>4</x:v>
      </x:c>
      <x:c r="AD17" s="20" t="n">
        <x:f>N17*AC17</x:f>
        <x:v>200</x:v>
      </x:c>
    </x:row>
    <x:row r="18">
      <x:c r="A18" s="20" t="str">
        <x:v>TSK-017</x:v>
      </x:c>
      <x:c r="B18" s="20" t="str">
        <x:v>EVT-RAKOR</x:v>
      </x:c>
      <x:c r="C18" s="20" t="str">
        <x:v>Ruang Keupula</x:v>
      </x:c>
      <x:c r="D18" s="20" t="str">
        <x:v>Venue &amp; Event</x:v>
      </x:c>
      <x:c r="E18" s="20" t="str">
        <x:v>Finalisasi layout boardroom</x:v>
      </x:c>
      <x:c r="F18" s="20" t="str">
        <x:v>Layout 12–14 kursi, jalur masuk VIP dan posisi layar disetujui.</x:v>
      </x:c>
      <x:c r="G18" s="20" t="str">
        <x:v>Shared</x:v>
      </x:c>
      <x:c r="H18" s="20" t="str">
        <x:v>Tempat &amp; Acara</x:v>
      </x:c>
      <x:c r="I18" s="20" t="str">
        <x:v>Zulfajri Ery Syahputra</x:v>
      </x:c>
      <x:c r="J18" s="20" t="str">
        <x:v>High</x:v>
      </x:c>
      <x:c r="K18" s="30" t="n">
        <x:v>46230</x:v>
      </x:c>
      <x:c r="L18" s="30" t="n">
        <x:v>46238</x:v>
      </x:c>
      <x:c r="M18" s="20" t="str">
        <x:v>Belum Dimulai</x:v>
      </x:c>
      <x:c r="N18" s="31" t="n">
        <x:v>0</x:v>
      </x:c>
      <x:c r="O18" s="20" t="str">
        <x:f>IF(M18="Selesai &amp; Terverifikasi","Ready",IF(M18="Terkendala","Not Ready",IF(AND(J18="Critical",L18&lt;=TODAY()+3,N18&lt;100),"At Risk","In Progress")))</x:f>
        <x:v>In Progress</x:v>
      </x:c>
      <x:c r="P18" s="20" t="str"/>
      <x:c r="Q18" s="20" t="str"/>
      <x:c r="R18" s="20" t="str"/>
      <x:c r="S18" s="20" t="str">
        <x:v>Initial Setup</x:v>
      </x:c>
      <x:c r="T18" s="32" t="n">
        <x:v>46229.833333333336</x:v>
      </x:c>
      <x:c r="U18" s="20" t="str"/>
      <x:c r="V18" s="20" t="str">
        <x:v>Belum Diverifikasi</x:v>
      </x:c>
      <x:c r="W18" s="20" t="str"/>
      <x:c r="X18" s="20" t="str"/>
      <x:c r="Y18" s="20" t="str">
        <x:v>Ya</x:v>
      </x:c>
      <x:c r="Z18" s="20" t="str">
        <x:v>A/B/C</x:v>
      </x:c>
      <x:c r="AA18" s="33" t="n">
        <x:f>IF(L18="","",L18-TODAY())</x:f>
        <x:v>9</x:v>
      </x:c>
      <x:c r="AB18" s="20" t="str">
        <x:f>IF(AND(L18&lt;&gt;"",L18&lt;TODAY(),M18&lt;&gt;"Selesai &amp; Terverifikasi",M18&lt;&gt;"Tidak Berlaku"),"OVERDUE","")</x:f>
      </x:c>
      <x:c r="AC18" s="20" t="n">
        <x:f>IF(J18="Critical",4,IF(J18="High",3,IF(J18="Medium",2,1)))</x:f>
        <x:v>3</x:v>
      </x:c>
      <x:c r="AD18" s="20" t="n">
        <x:f>N18*AC18</x:f>
        <x:v>0</x:v>
      </x:c>
    </x:row>
    <x:row r="19">
      <x:c r="A19" s="20" t="str">
        <x:v>TSK-018</x:v>
      </x:c>
      <x:c r="B19" s="20" t="str">
        <x:v>EVT-RAKOR</x:v>
      </x:c>
      <x:c r="C19" s="20" t="str">
        <x:v>Ruang Keupula</x:v>
      </x:c>
      <x:c r="D19" s="20" t="str">
        <x:v>Venue &amp; Event</x:v>
      </x:c>
      <x:c r="E19" s="20" t="str">
        <x:v>Siapkan meja, kursi dan nameplate</x:v>
      </x:c>
      <x:c r="F19" s="20" t="str">
        <x:v>Jumlah, kualitas dan penempatan sesuai daftar peserta.</x:v>
      </x:c>
      <x:c r="G19" s="20" t="str">
        <x:v>Shared</x:v>
      </x:c>
      <x:c r="H19" s="20" t="str">
        <x:v>Tempat &amp; Acara</x:v>
      </x:c>
      <x:c r="I19" s="20" t="str">
        <x:v>Zulfajri Ery Syahputra</x:v>
      </x:c>
      <x:c r="J19" s="20" t="str">
        <x:v>High</x:v>
      </x:c>
      <x:c r="K19" s="30" t="n">
        <x:v>46230</x:v>
      </x:c>
      <x:c r="L19" s="30" t="n">
        <x:v>46241</x:v>
      </x:c>
      <x:c r="M19" s="20" t="str">
        <x:v>Belum Dimulai</x:v>
      </x:c>
      <x:c r="N19" s="31" t="n">
        <x:v>0</x:v>
      </x:c>
      <x:c r="O19" s="20" t="str">
        <x:f>IF(M19="Selesai &amp; Terverifikasi","Ready",IF(M19="Terkendala","Not Ready",IF(AND(J19="Critical",L19&lt;=TODAY()+3,N19&lt;100),"At Risk","In Progress")))</x:f>
        <x:v>In Progress</x:v>
      </x:c>
      <x:c r="P19" s="20" t="str"/>
      <x:c r="Q19" s="20" t="str"/>
      <x:c r="R19" s="20" t="str"/>
      <x:c r="S19" s="20" t="str">
        <x:v>Initial Setup</x:v>
      </x:c>
      <x:c r="T19" s="32" t="n">
        <x:v>46229.833333333336</x:v>
      </x:c>
      <x:c r="U19" s="20" t="str"/>
      <x:c r="V19" s="20" t="str">
        <x:v>Belum Diverifikasi</x:v>
      </x:c>
      <x:c r="W19" s="20" t="str"/>
      <x:c r="X19" s="20" t="str"/>
      <x:c r="Y19" s="20" t="str">
        <x:v>Ya</x:v>
      </x:c>
      <x:c r="Z19" s="20" t="str">
        <x:v>A/B/C</x:v>
      </x:c>
      <x:c r="AA19" s="33" t="n">
        <x:f>IF(L19="","",L19-TODAY())</x:f>
        <x:v>12</x:v>
      </x:c>
      <x:c r="AB19" s="20" t="str">
        <x:f>IF(AND(L19&lt;&gt;"",L19&lt;TODAY(),M19&lt;&gt;"Selesai &amp; Terverifikasi",M19&lt;&gt;"Tidak Berlaku"),"OVERDUE","")</x:f>
      </x:c>
      <x:c r="AC19" s="20" t="n">
        <x:f>IF(J19="Critical",4,IF(J19="High",3,IF(J19="Medium",2,1)))</x:f>
        <x:v>3</x:v>
      </x:c>
      <x:c r="AD19" s="20" t="n">
        <x:f>N19*AC19</x:f>
        <x:v>0</x:v>
      </x:c>
    </x:row>
    <x:row r="20">
      <x:c r="A20" s="20" t="str">
        <x:v>TSK-019</x:v>
      </x:c>
      <x:c r="B20" s="20" t="str">
        <x:v>EVT-RAKOR</x:v>
      </x:c>
      <x:c r="C20" s="20" t="str">
        <x:v>Ruang Keupula</x:v>
      </x:c>
      <x:c r="D20" s="20" t="str">
        <x:v>Venue &amp; Event</x:v>
      </x:c>
      <x:c r="E20" s="20" t="str">
        <x:v>Siapkan layar/monitor presentasi</x:v>
      </x:c>
      <x:c r="F20" s="20" t="str">
        <x:v>Layar berfungsi, input cadangan tersedia dan terlihat seluruh peserta.</x:v>
      </x:c>
      <x:c r="G20" s="20" t="str">
        <x:v>Shared</x:v>
      </x:c>
      <x:c r="H20" s="20" t="str">
        <x:v>Tempat &amp; Acara</x:v>
      </x:c>
      <x:c r="I20" s="20" t="str">
        <x:v>Zulfajri Ery Syahputra</x:v>
      </x:c>
      <x:c r="J20" s="20" t="str">
        <x:v>Critical</x:v>
      </x:c>
      <x:c r="K20" s="30" t="n">
        <x:v>46230</x:v>
      </x:c>
      <x:c r="L20" s="30" t="n">
        <x:v>46241</x:v>
      </x:c>
      <x:c r="M20" s="20" t="str">
        <x:v>Belum Dimulai</x:v>
      </x:c>
      <x:c r="N20" s="31" t="n">
        <x:v>0</x:v>
      </x:c>
      <x:c r="O20" s="20" t="str">
        <x:f>IF(M20="Selesai &amp; Terverifikasi","Ready",IF(M20="Terkendala","Not Ready",IF(AND(J20="Critical",L20&lt;=TODAY()+3,N20&lt;100),"At Risk","In Progress")))</x:f>
        <x:v>In Progress</x:v>
      </x:c>
      <x:c r="P20" s="20" t="str"/>
      <x:c r="Q20" s="20" t="str"/>
      <x:c r="R20" s="20" t="str"/>
      <x:c r="S20" s="20" t="str">
        <x:v>Initial Setup</x:v>
      </x:c>
      <x:c r="T20" s="32" t="n">
        <x:v>46229.833333333336</x:v>
      </x:c>
      <x:c r="U20" s="20" t="str"/>
      <x:c r="V20" s="20" t="str">
        <x:v>Belum Diverifikasi</x:v>
      </x:c>
      <x:c r="W20" s="20" t="str"/>
      <x:c r="X20" s="20" t="str"/>
      <x:c r="Y20" s="20" t="str">
        <x:v>Ya</x:v>
      </x:c>
      <x:c r="Z20" s="20" t="str">
        <x:v>A/B/C</x:v>
      </x:c>
      <x:c r="AA20" s="33" t="n">
        <x:f>IF(L20="","",L20-TODAY())</x:f>
        <x:v>12</x:v>
      </x:c>
      <x:c r="AB20" s="20" t="str">
        <x:f>IF(AND(L20&lt;&gt;"",L20&lt;TODAY(),M20&lt;&gt;"Selesai &amp; Terverifikasi",M20&lt;&gt;"Tidak Berlaku"),"OVERDUE","")</x:f>
      </x:c>
      <x:c r="AC20" s="20" t="n">
        <x:f>IF(J20="Critical",4,IF(J20="High",3,IF(J20="Medium",2,1)))</x:f>
        <x:v>4</x:v>
      </x:c>
      <x:c r="AD20" s="20" t="n">
        <x:f>N20*AC20</x:f>
        <x:v>0</x:v>
      </x:c>
    </x:row>
    <x:row r="21">
      <x:c r="A21" s="20" t="str">
        <x:v>TSK-020</x:v>
      </x:c>
      <x:c r="B21" s="20" t="str">
        <x:v>EVT-RAKOR</x:v>
      </x:c>
      <x:c r="C21" s="20" t="str">
        <x:v>Ruang Keupula</x:v>
      </x:c>
      <x:c r="D21" s="20" t="str">
        <x:v>Venue &amp; Event</x:v>
      </x:c>
      <x:c r="E21" s="20" t="str">
        <x:v>Siapkan sistem audio dan mikrofon</x:v>
      </x:c>
      <x:c r="F21" s="20" t="str">
        <x:v>Audio jernih, mikrofon tersedia dan diuji.</x:v>
      </x:c>
      <x:c r="G21" s="20" t="str">
        <x:v>Shared</x:v>
      </x:c>
      <x:c r="H21" s="20" t="str">
        <x:v>Tempat &amp; Acara</x:v>
      </x:c>
      <x:c r="I21" s="20" t="str">
        <x:v>Zulfajri Ery Syahputra</x:v>
      </x:c>
      <x:c r="J21" s="20" t="str">
        <x:v>High</x:v>
      </x:c>
      <x:c r="K21" s="30" t="n">
        <x:v>46230</x:v>
      </x:c>
      <x:c r="L21" s="30" t="n">
        <x:v>46241</x:v>
      </x:c>
      <x:c r="M21" s="20" t="str">
        <x:v>Belum Dimulai</x:v>
      </x:c>
      <x:c r="N21" s="31" t="n">
        <x:v>0</x:v>
      </x:c>
      <x:c r="O21" s="20" t="str">
        <x:f>IF(M21="Selesai &amp; Terverifikasi","Ready",IF(M21="Terkendala","Not Ready",IF(AND(J21="Critical",L21&lt;=TODAY()+3,N21&lt;100),"At Risk","In Progress")))</x:f>
        <x:v>In Progress</x:v>
      </x:c>
      <x:c r="P21" s="20" t="str"/>
      <x:c r="Q21" s="20" t="str"/>
      <x:c r="R21" s="20" t="str"/>
      <x:c r="S21" s="20" t="str">
        <x:v>Initial Setup</x:v>
      </x:c>
      <x:c r="T21" s="32" t="n">
        <x:v>46229.833333333336</x:v>
      </x:c>
      <x:c r="U21" s="20" t="str"/>
      <x:c r="V21" s="20" t="str">
        <x:v>Belum Diverifikasi</x:v>
      </x:c>
      <x:c r="W21" s="20" t="str"/>
      <x:c r="X21" s="20" t="str"/>
      <x:c r="Y21" s="20" t="str">
        <x:v>Ya</x:v>
      </x:c>
      <x:c r="Z21" s="20" t="str">
        <x:v>A/B/C</x:v>
      </x:c>
      <x:c r="AA21" s="33" t="n">
        <x:f>IF(L21="","",L21-TODAY())</x:f>
        <x:v>12</x:v>
      </x:c>
      <x:c r="AB21" s="20" t="str">
        <x:f>IF(AND(L21&lt;&gt;"",L21&lt;TODAY(),M21&lt;&gt;"Selesai &amp; Terverifikasi",M21&lt;&gt;"Tidak Berlaku"),"OVERDUE","")</x:f>
      </x:c>
      <x:c r="AC21" s="20" t="n">
        <x:f>IF(J21="Critical",4,IF(J21="High",3,IF(J21="Medium",2,1)))</x:f>
        <x:v>3</x:v>
      </x:c>
      <x:c r="AD21" s="20" t="n">
        <x:f>N21*AC21</x:f>
        <x:v>0</x:v>
      </x:c>
    </x:row>
    <x:row r="22">
      <x:c r="A22" s="20" t="str">
        <x:v>TSK-021</x:v>
      </x:c>
      <x:c r="B22" s="20" t="str">
        <x:v>EVT-RAKOR</x:v>
      </x:c>
      <x:c r="C22" s="20" t="str">
        <x:v>Ruang Keupula</x:v>
      </x:c>
      <x:c r="D22" s="20" t="str">
        <x:v>Venue &amp; Event</x:v>
      </x:c>
      <x:c r="E22" s="20" t="str">
        <x:v>Siapkan laptop presentasi dan clicker cadangan</x:v>
      </x:c>
      <x:c r="F22" s="20" t="str">
        <x:v>File dapat diputar, adapter dan backup tersedia.</x:v>
      </x:c>
      <x:c r="G22" s="20" t="str">
        <x:v>Shared</x:v>
      </x:c>
      <x:c r="H22" s="20" t="str">
        <x:v>Tempat &amp; Acara</x:v>
      </x:c>
      <x:c r="I22" s="20" t="str">
        <x:v>Zulfajri Ery Syahputra</x:v>
      </x:c>
      <x:c r="J22" s="20" t="str">
        <x:v>High</x:v>
      </x:c>
      <x:c r="K22" s="30" t="n">
        <x:v>46230</x:v>
      </x:c>
      <x:c r="L22" s="30" t="n">
        <x:v>46242</x:v>
      </x:c>
      <x:c r="M22" s="20" t="str">
        <x:v>Belum Dimulai</x:v>
      </x:c>
      <x:c r="N22" s="31" t="n">
        <x:v>0</x:v>
      </x:c>
      <x:c r="O22" s="20" t="str">
        <x:f>IF(M22="Selesai &amp; Terverifikasi","Ready",IF(M22="Terkendala","Not Ready",IF(AND(J22="Critical",L22&lt;=TODAY()+3,N22&lt;100),"At Risk","In Progress")))</x:f>
        <x:v>In Progress</x:v>
      </x:c>
      <x:c r="P22" s="20" t="str"/>
      <x:c r="Q22" s="20" t="str"/>
      <x:c r="R22" s="20" t="str"/>
      <x:c r="S22" s="20" t="str">
        <x:v>Initial Setup</x:v>
      </x:c>
      <x:c r="T22" s="32" t="n">
        <x:v>46229.833333333336</x:v>
      </x:c>
      <x:c r="U22" s="20" t="str"/>
      <x:c r="V22" s="20" t="str">
        <x:v>Belum Diverifikasi</x:v>
      </x:c>
      <x:c r="W22" s="20" t="str"/>
      <x:c r="X22" s="20" t="str"/>
      <x:c r="Y22" s="20" t="str">
        <x:v>Ya</x:v>
      </x:c>
      <x:c r="Z22" s="20" t="str">
        <x:v>A/B/C</x:v>
      </x:c>
      <x:c r="AA22" s="33" t="n">
        <x:f>IF(L22="","",L22-TODAY())</x:f>
        <x:v>13</x:v>
      </x:c>
      <x:c r="AB22" s="20" t="str">
        <x:f>IF(AND(L22&lt;&gt;"",L22&lt;TODAY(),M22&lt;&gt;"Selesai &amp; Terverifikasi",M22&lt;&gt;"Tidak Berlaku"),"OVERDUE","")</x:f>
      </x:c>
      <x:c r="AC22" s="20" t="n">
        <x:f>IF(J22="Critical",4,IF(J22="High",3,IF(J22="Medium",2,1)))</x:f>
        <x:v>3</x:v>
      </x:c>
      <x:c r="AD22" s="20" t="n">
        <x:f>N22*AC22</x:f>
        <x:v>0</x:v>
      </x:c>
    </x:row>
    <x:row r="23">
      <x:c r="A23" s="20" t="str">
        <x:v>TSK-022</x:v>
      </x:c>
      <x:c r="B23" s="20" t="str">
        <x:v>EVT-RAKOR</x:v>
      </x:c>
      <x:c r="C23" s="20" t="str">
        <x:v>Ruang Keupula</x:v>
      </x:c>
      <x:c r="D23" s="20" t="str">
        <x:v>Venue &amp; Event</x:v>
      </x:c>
      <x:c r="E23" s="20" t="str">
        <x:v>Pastikan internet dan jaringan cadangan</x:v>
      </x:c>
      <x:c r="F23" s="20" t="str">
        <x:v>Koneksi stabil dan hotspot cadangan diuji.</x:v>
      </x:c>
      <x:c r="G23" s="20" t="str">
        <x:v>Shared</x:v>
      </x:c>
      <x:c r="H23" s="20" t="str">
        <x:v>Tempat &amp; Acara</x:v>
      </x:c>
      <x:c r="I23" s="20" t="str">
        <x:v>Zulfajri Ery Syahputra</x:v>
      </x:c>
      <x:c r="J23" s="20" t="str">
        <x:v>High</x:v>
      </x:c>
      <x:c r="K23" s="30" t="n">
        <x:v>46230</x:v>
      </x:c>
      <x:c r="L23" s="30" t="n">
        <x:v>46242</x:v>
      </x:c>
      <x:c r="M23" s="20" t="str">
        <x:v>Belum Dimulai</x:v>
      </x:c>
      <x:c r="N23" s="31" t="n">
        <x:v>0</x:v>
      </x:c>
      <x:c r="O23" s="20" t="str">
        <x:f>IF(M23="Selesai &amp; Terverifikasi","Ready",IF(M23="Terkendala","Not Ready",IF(AND(J23="Critical",L23&lt;=TODAY()+3,N23&lt;100),"At Risk","In Progress")))</x:f>
        <x:v>In Progress</x:v>
      </x:c>
      <x:c r="P23" s="20" t="str"/>
      <x:c r="Q23" s="20" t="str"/>
      <x:c r="R23" s="20" t="str"/>
      <x:c r="S23" s="20" t="str">
        <x:v>Initial Setup</x:v>
      </x:c>
      <x:c r="T23" s="32" t="n">
        <x:v>46229.833333333336</x:v>
      </x:c>
      <x:c r="U23" s="20" t="str"/>
      <x:c r="V23" s="20" t="str">
        <x:v>Belum Diverifikasi</x:v>
      </x:c>
      <x:c r="W23" s="20" t="str"/>
      <x:c r="X23" s="20" t="str"/>
      <x:c r="Y23" s="20" t="str">
        <x:v>Ya</x:v>
      </x:c>
      <x:c r="Z23" s="20" t="str">
        <x:v>A/B/C</x:v>
      </x:c>
      <x:c r="AA23" s="33" t="n">
        <x:f>IF(L23="","",L23-TODAY())</x:f>
        <x:v>13</x:v>
      </x:c>
      <x:c r="AB23" s="20" t="str">
        <x:f>IF(AND(L23&lt;&gt;"",L23&lt;TODAY(),M23&lt;&gt;"Selesai &amp; Terverifikasi",M23&lt;&gt;"Tidak Berlaku"),"OVERDUE","")</x:f>
      </x:c>
      <x:c r="AC23" s="20" t="n">
        <x:f>IF(J23="Critical",4,IF(J23="High",3,IF(J23="Medium",2,1)))</x:f>
        <x:v>3</x:v>
      </x:c>
      <x:c r="AD23" s="20" t="n">
        <x:f>N23*AC23</x:f>
        <x:v>0</x:v>
      </x:c>
    </x:row>
    <x:row r="24">
      <x:c r="A24" s="20" t="str">
        <x:v>TSK-023</x:v>
      </x:c>
      <x:c r="B24" s="20" t="str">
        <x:v>EVT-RAKOR</x:v>
      </x:c>
      <x:c r="C24" s="20" t="str">
        <x:v>Ruang Keupula</x:v>
      </x:c>
      <x:c r="D24" s="20" t="str">
        <x:v>Venue &amp; Event</x:v>
      </x:c>
      <x:c r="E24" s="20" t="str">
        <x:v>Pastikan listrik, UPS dan jalur kabel aman</x:v>
      </x:c>
      <x:c r="F24" s="20" t="str">
        <x:v>Tidak ada kabel terbuka; UPS/backup tersedia.</x:v>
      </x:c>
      <x:c r="G24" s="20" t="str">
        <x:v>Shared</x:v>
      </x:c>
      <x:c r="H24" s="20" t="str">
        <x:v>Tempat &amp; Acara</x:v>
      </x:c>
      <x:c r="I24" s="20" t="str">
        <x:v>Zulfajri Ery Syahputra</x:v>
      </x:c>
      <x:c r="J24" s="20" t="str">
        <x:v>Critical</x:v>
      </x:c>
      <x:c r="K24" s="30" t="n">
        <x:v>46230</x:v>
      </x:c>
      <x:c r="L24" s="30" t="n">
        <x:v>46242</x:v>
      </x:c>
      <x:c r="M24" s="20" t="str">
        <x:v>Belum Dimulai</x:v>
      </x:c>
      <x:c r="N24" s="31" t="n">
        <x:v>0</x:v>
      </x:c>
      <x:c r="O24" s="20" t="str">
        <x:f>IF(M24="Selesai &amp; Terverifikasi","Ready",IF(M24="Terkendala","Not Ready",IF(AND(J24="Critical",L24&lt;=TODAY()+3,N24&lt;100),"At Risk","In Progress")))</x:f>
        <x:v>In Progress</x:v>
      </x:c>
      <x:c r="P24" s="20" t="str"/>
      <x:c r="Q24" s="20" t="str"/>
      <x:c r="R24" s="20" t="str"/>
      <x:c r="S24" s="20" t="str">
        <x:v>Initial Setup</x:v>
      </x:c>
      <x:c r="T24" s="32" t="n">
        <x:v>46229.833333333336</x:v>
      </x:c>
      <x:c r="U24" s="20" t="str"/>
      <x:c r="V24" s="20" t="str">
        <x:v>Belum Diverifikasi</x:v>
      </x:c>
      <x:c r="W24" s="20" t="str"/>
      <x:c r="X24" s="20" t="str"/>
      <x:c r="Y24" s="20" t="str">
        <x:v>Ya</x:v>
      </x:c>
      <x:c r="Z24" s="20" t="str">
        <x:v>A/B/C</x:v>
      </x:c>
      <x:c r="AA24" s="33" t="n">
        <x:f>IF(L24="","",L24-TODAY())</x:f>
        <x:v>13</x:v>
      </x:c>
      <x:c r="AB24" s="20" t="str">
        <x:f>IF(AND(L24&lt;&gt;"",L24&lt;TODAY(),M24&lt;&gt;"Selesai &amp; Terverifikasi",M24&lt;&gt;"Tidak Berlaku"),"OVERDUE","")</x:f>
      </x:c>
      <x:c r="AC24" s="20" t="n">
        <x:f>IF(J24="Critical",4,IF(J24="High",3,IF(J24="Medium",2,1)))</x:f>
        <x:v>4</x:v>
      </x:c>
      <x:c r="AD24" s="20" t="n">
        <x:f>N24*AC24</x:f>
        <x:v>0</x:v>
      </x:c>
    </x:row>
    <x:row r="25">
      <x:c r="A25" s="20" t="str">
        <x:v>TSK-024</x:v>
      </x:c>
      <x:c r="B25" s="20" t="str">
        <x:v>EVT-RAKOR</x:v>
      </x:c>
      <x:c r="C25" s="20" t="str">
        <x:v>Ruang Keupula</x:v>
      </x:c>
      <x:c r="D25" s="20" t="str">
        <x:v>Venue &amp; Event</x:v>
      </x:c>
      <x:c r="E25" s="20" t="str">
        <x:v>Siapkan ruang tunggu dan coffee break</x:v>
      </x:c>
      <x:c r="F25" s="20" t="str">
        <x:v>Ruang tunggu, layanan VIP, air minum dan coffee break siap.</x:v>
      </x:c>
      <x:c r="G25" s="20" t="str">
        <x:v>Shared</x:v>
      </x:c>
      <x:c r="H25" s="20" t="str">
        <x:v>Tempat &amp; Acara</x:v>
      </x:c>
      <x:c r="I25" s="20" t="str">
        <x:v>Zulfajri Ery Syahputra</x:v>
      </x:c>
      <x:c r="J25" s="20" t="str">
        <x:v>High</x:v>
      </x:c>
      <x:c r="K25" s="30" t="n">
        <x:v>46230</x:v>
      </x:c>
      <x:c r="L25" s="30" t="n">
        <x:v>46242</x:v>
      </x:c>
      <x:c r="M25" s="20" t="str">
        <x:v>Belum Dimulai</x:v>
      </x:c>
      <x:c r="N25" s="31" t="n">
        <x:v>0</x:v>
      </x:c>
      <x:c r="O25" s="20" t="str">
        <x:f>IF(M25="Selesai &amp; Terverifikasi","Ready",IF(M25="Terkendala","Not Ready",IF(AND(J25="Critical",L25&lt;=TODAY()+3,N25&lt;100),"At Risk","In Progress")))</x:f>
        <x:v>In Progress</x:v>
      </x:c>
      <x:c r="P25" s="20" t="str"/>
      <x:c r="Q25" s="20" t="str"/>
      <x:c r="R25" s="20" t="str"/>
      <x:c r="S25" s="20" t="str">
        <x:v>Initial Setup</x:v>
      </x:c>
      <x:c r="T25" s="32" t="n">
        <x:v>46229.833333333336</x:v>
      </x:c>
      <x:c r="U25" s="20" t="str"/>
      <x:c r="V25" s="20" t="str">
        <x:v>Belum Diverifikasi</x:v>
      </x:c>
      <x:c r="W25" s="20" t="str"/>
      <x:c r="X25" s="20" t="str"/>
      <x:c r="Y25" s="20" t="str">
        <x:v>Ya</x:v>
      </x:c>
      <x:c r="Z25" s="20" t="str">
        <x:v>A/B/C</x:v>
      </x:c>
      <x:c r="AA25" s="33" t="n">
        <x:f>IF(L25="","",L25-TODAY())</x:f>
        <x:v>13</x:v>
      </x:c>
      <x:c r="AB25" s="20" t="str">
        <x:f>IF(AND(L25&lt;&gt;"",L25&lt;TODAY(),M25&lt;&gt;"Selesai &amp; Terverifikasi",M25&lt;&gt;"Tidak Berlaku"),"OVERDUE","")</x:f>
      </x:c>
      <x:c r="AC25" s="20" t="n">
        <x:f>IF(J25="Critical",4,IF(J25="High",3,IF(J25="Medium",2,1)))</x:f>
        <x:v>3</x:v>
      </x:c>
      <x:c r="AD25" s="20" t="n">
        <x:f>N25*AC25</x:f>
        <x:v>0</x:v>
      </x:c>
    </x:row>
    <x:row r="26">
      <x:c r="A26" s="20" t="str">
        <x:v>TSK-025</x:v>
      </x:c>
      <x:c r="B26" s="20" t="str">
        <x:v>EVT-RAKOR</x:v>
      </x:c>
      <x:c r="C26" s="20" t="str">
        <x:v>Ruang Keupula</x:v>
      </x:c>
      <x:c r="D26" s="20" t="str">
        <x:v>Venue &amp; Event</x:v>
      </x:c>
      <x:c r="E26" s="20" t="str">
        <x:v>Siapkan akses protokoler Gedung Direksi</x:v>
      </x:c>
      <x:c r="F26" s="20" t="str">
        <x:v>Akses, parkir, pengamanan dan pengawalan disetujui.</x:v>
      </x:c>
      <x:c r="G26" s="20" t="str">
        <x:v>Shared</x:v>
      </x:c>
      <x:c r="H26" s="20" t="str">
        <x:v>Tempat &amp; Acara</x:v>
      </x:c>
      <x:c r="I26" s="20" t="str">
        <x:v>Zulfajri Ery Syahputra</x:v>
      </x:c>
      <x:c r="J26" s="20" t="str">
        <x:v>Critical</x:v>
      </x:c>
      <x:c r="K26" s="30" t="n">
        <x:v>46230</x:v>
      </x:c>
      <x:c r="L26" s="30" t="n">
        <x:v>46242</x:v>
      </x:c>
      <x:c r="M26" s="20" t="str">
        <x:v>Belum Dimulai</x:v>
      </x:c>
      <x:c r="N26" s="31" t="n">
        <x:v>0</x:v>
      </x:c>
      <x:c r="O26" s="20" t="str">
        <x:f>IF(M26="Selesai &amp; Terverifikasi","Ready",IF(M26="Terkendala","Not Ready",IF(AND(J26="Critical",L26&lt;=TODAY()+3,N26&lt;100),"At Risk","In Progress")))</x:f>
        <x:v>In Progress</x:v>
      </x:c>
      <x:c r="P26" s="20" t="str"/>
      <x:c r="Q26" s="20" t="str"/>
      <x:c r="R26" s="20" t="str"/>
      <x:c r="S26" s="20" t="str">
        <x:v>Initial Setup</x:v>
      </x:c>
      <x:c r="T26" s="32" t="n">
        <x:v>46229.833333333336</x:v>
      </x:c>
      <x:c r="U26" s="20" t="str"/>
      <x:c r="V26" s="20" t="str">
        <x:v>Belum Diverifikasi</x:v>
      </x:c>
      <x:c r="W26" s="20" t="str"/>
      <x:c r="X26" s="20" t="str"/>
      <x:c r="Y26" s="20" t="str">
        <x:v>Ya</x:v>
      </x:c>
      <x:c r="Z26" s="20" t="str">
        <x:v>A/B/C</x:v>
      </x:c>
      <x:c r="AA26" s="33" t="n">
        <x:f>IF(L26="","",L26-TODAY())</x:f>
        <x:v>13</x:v>
      </x:c>
      <x:c r="AB26" s="20" t="str">
        <x:f>IF(AND(L26&lt;&gt;"",L26&lt;TODAY(),M26&lt;&gt;"Selesai &amp; Terverifikasi",M26&lt;&gt;"Tidak Berlaku"),"OVERDUE","")</x:f>
      </x:c>
      <x:c r="AC26" s="20" t="n">
        <x:f>IF(J26="Critical",4,IF(J26="High",3,IF(J26="Medium",2,1)))</x:f>
        <x:v>4</x:v>
      </x:c>
      <x:c r="AD26" s="20" t="n">
        <x:f>N26*AC26</x:f>
        <x:v>0</x:v>
      </x:c>
    </x:row>
    <x:row r="27">
      <x:c r="A27" s="20" t="str">
        <x:v>TSK-026</x:v>
      </x:c>
      <x:c r="B27" s="20" t="str">
        <x:v>EVT-RAKOR</x:v>
      </x:c>
      <x:c r="C27" s="20" t="str">
        <x:v>Ruang Keupula</x:v>
      </x:c>
      <x:c r="D27" s="20" t="str">
        <x:v>Venue &amp; Event</x:v>
      </x:c>
      <x:c r="E27" s="20" t="str">
        <x:v>Finalisasi agenda, materi dan daftar hadir</x:v>
      </x:c>
      <x:c r="F27" s="20" t="str">
        <x:v>Agenda, bahan rapat, daftar hadir dan folder peserta tersedia.</x:v>
      </x:c>
      <x:c r="G27" s="20" t="str">
        <x:v>Shared</x:v>
      </x:c>
      <x:c r="H27" s="20" t="str">
        <x:v>Tempat &amp; Acara</x:v>
      </x:c>
      <x:c r="I27" s="20" t="str">
        <x:v>Zulfajri Ery Syahputra</x:v>
      </x:c>
      <x:c r="J27" s="20" t="str">
        <x:v>Critical</x:v>
      </x:c>
      <x:c r="K27" s="30" t="n">
        <x:v>46230</x:v>
      </x:c>
      <x:c r="L27" s="30" t="n">
        <x:v>46240</x:v>
      </x:c>
      <x:c r="M27" s="20" t="str">
        <x:v>Belum Dimulai</x:v>
      </x:c>
      <x:c r="N27" s="31" t="n">
        <x:v>0</x:v>
      </x:c>
      <x:c r="O27" s="20" t="str">
        <x:f>IF(M27="Selesai &amp; Terverifikasi","Ready",IF(M27="Terkendala","Not Ready",IF(AND(J27="Critical",L27&lt;=TODAY()+3,N27&lt;100),"At Risk","In Progress")))</x:f>
        <x:v>In Progress</x:v>
      </x:c>
      <x:c r="P27" s="20" t="str"/>
      <x:c r="Q27" s="20" t="str"/>
      <x:c r="R27" s="20" t="str"/>
      <x:c r="S27" s="20" t="str">
        <x:v>Initial Setup</x:v>
      </x:c>
      <x:c r="T27" s="32" t="n">
        <x:v>46229.833333333336</x:v>
      </x:c>
      <x:c r="U27" s="20" t="str"/>
      <x:c r="V27" s="20" t="str">
        <x:v>Belum Diverifikasi</x:v>
      </x:c>
      <x:c r="W27" s="20" t="str"/>
      <x:c r="X27" s="20" t="str"/>
      <x:c r="Y27" s="20" t="str">
        <x:v>Ya</x:v>
      </x:c>
      <x:c r="Z27" s="20" t="str">
        <x:v>A/B/C</x:v>
      </x:c>
      <x:c r="AA27" s="33" t="n">
        <x:f>IF(L27="","",L27-TODAY())</x:f>
        <x:v>11</x:v>
      </x:c>
      <x:c r="AB27" s="20" t="str">
        <x:f>IF(AND(L27&lt;&gt;"",L27&lt;TODAY(),M27&lt;&gt;"Selesai &amp; Terverifikasi",M27&lt;&gt;"Tidak Berlaku"),"OVERDUE","")</x:f>
      </x:c>
      <x:c r="AC27" s="20" t="n">
        <x:f>IF(J27="Critical",4,IF(J27="High",3,IF(J27="Medium",2,1)))</x:f>
        <x:v>4</x:v>
      </x:c>
      <x:c r="AD27" s="20" t="n">
        <x:f>N27*AC27</x:f>
        <x:v>0</x:v>
      </x:c>
    </x:row>
    <x:row r="28">
      <x:c r="A28" s="20" t="str">
        <x:v>TSK-027</x:v>
      </x:c>
      <x:c r="B28" s="20" t="str">
        <x:v>EVT-RAKOR</x:v>
      </x:c>
      <x:c r="C28" s="20" t="str">
        <x:v>Ruang Keupula</x:v>
      </x:c>
      <x:c r="D28" s="20" t="str">
        <x:v>Venue &amp; Event</x:v>
      </x:c>
      <x:c r="E28" s="20" t="str">
        <x:v>Tetapkan notulis dan format hasil rapat</x:v>
      </x:c>
      <x:c r="F28" s="20" t="str">
        <x:v>Notulis, template keputusan dan distribusi hasil ditetapkan.</x:v>
      </x:c>
      <x:c r="G28" s="20" t="str">
        <x:v>Shared</x:v>
      </x:c>
      <x:c r="H28" s="20" t="str">
        <x:v>Tempat &amp; Acara</x:v>
      </x:c>
      <x:c r="I28" s="20" t="str">
        <x:v>Zulfajri Ery Syahputra</x:v>
      </x:c>
      <x:c r="J28" s="20" t="str">
        <x:v>High</x:v>
      </x:c>
      <x:c r="K28" s="30" t="n">
        <x:v>46230</x:v>
      </x:c>
      <x:c r="L28" s="30" t="n">
        <x:v>46241</x:v>
      </x:c>
      <x:c r="M28" s="20" t="str">
        <x:v>Belum Dimulai</x:v>
      </x:c>
      <x:c r="N28" s="31" t="n">
        <x:v>0</x:v>
      </x:c>
      <x:c r="O28" s="20" t="str">
        <x:f>IF(M28="Selesai &amp; Terverifikasi","Ready",IF(M28="Terkendala","Not Ready",IF(AND(J28="Critical",L28&lt;=TODAY()+3,N28&lt;100),"At Risk","In Progress")))</x:f>
        <x:v>In Progress</x:v>
      </x:c>
      <x:c r="P28" s="20" t="str"/>
      <x:c r="Q28" s="20" t="str"/>
      <x:c r="R28" s="20" t="str"/>
      <x:c r="S28" s="20" t="str">
        <x:v>Initial Setup</x:v>
      </x:c>
      <x:c r="T28" s="32" t="n">
        <x:v>46229.833333333336</x:v>
      </x:c>
      <x:c r="U28" s="20" t="str"/>
      <x:c r="V28" s="20" t="str">
        <x:v>Belum Diverifikasi</x:v>
      </x:c>
      <x:c r="W28" s="20" t="str"/>
      <x:c r="X28" s="20" t="str"/>
      <x:c r="Y28" s="20" t="str">
        <x:v>Ya</x:v>
      </x:c>
      <x:c r="Z28" s="20" t="str">
        <x:v>A/B/C</x:v>
      </x:c>
      <x:c r="AA28" s="33" t="n">
        <x:f>IF(L28="","",L28-TODAY())</x:f>
        <x:v>12</x:v>
      </x:c>
      <x:c r="AB28" s="20" t="str">
        <x:f>IF(AND(L28&lt;&gt;"",L28&lt;TODAY(),M28&lt;&gt;"Selesai &amp; Terverifikasi",M28&lt;&gt;"Tidak Berlaku"),"OVERDUE","")</x:f>
      </x:c>
      <x:c r="AC28" s="20" t="n">
        <x:f>IF(J28="Critical",4,IF(J28="High",3,IF(J28="Medium",2,1)))</x:f>
        <x:v>3</x:v>
      </x:c>
      <x:c r="AD28" s="20" t="n">
        <x:f>N28*AC28</x:f>
        <x:v>0</x:v>
      </x:c>
    </x:row>
    <x:row r="29">
      <x:c r="A29" s="20" t="str">
        <x:v>TSK-028</x:v>
      </x:c>
      <x:c r="B29" s="20" t="str">
        <x:v>EVT-RAKOR</x:v>
      </x:c>
      <x:c r="C29" s="20" t="str">
        <x:v>Ruang Keupula</x:v>
      </x:c>
      <x:c r="D29" s="20" t="str">
        <x:v>Venue &amp; Event</x:v>
      </x:c>
      <x:c r="E29" s="20" t="str">
        <x:v>Lakukan gladi teknis Rakor Dirut</x:v>
      </x:c>
      <x:c r="F29" s="20" t="str">
        <x:v>AV, alur masuk, seating dan coffee break diuji end-to-end.</x:v>
      </x:c>
      <x:c r="G29" s="20" t="str">
        <x:v>Shared</x:v>
      </x:c>
      <x:c r="H29" s="20" t="str">
        <x:v>Tempat &amp; Acara</x:v>
      </x:c>
      <x:c r="I29" s="20" t="str">
        <x:v>Zulfajri Ery Syahputra</x:v>
      </x:c>
      <x:c r="J29" s="20" t="str">
        <x:v>Critical</x:v>
      </x:c>
      <x:c r="K29" s="30" t="n">
        <x:v>46230</x:v>
      </x:c>
      <x:c r="L29" s="30" t="n">
        <x:v>46243</x:v>
      </x:c>
      <x:c r="M29" s="20" t="str">
        <x:v>Belum Dimulai</x:v>
      </x:c>
      <x:c r="N29" s="31" t="n">
        <x:v>0</x:v>
      </x:c>
      <x:c r="O29" s="20" t="str">
        <x:f>IF(M29="Selesai &amp; Terverifikasi","Ready",IF(M29="Terkendala","Not Ready",IF(AND(J29="Critical",L29&lt;=TODAY()+3,N29&lt;100),"At Risk","In Progress")))</x:f>
        <x:v>In Progress</x:v>
      </x:c>
      <x:c r="P29" s="20" t="str"/>
      <x:c r="Q29" s="20" t="str"/>
      <x:c r="R29" s="20" t="str"/>
      <x:c r="S29" s="20" t="str">
        <x:v>Initial Setup</x:v>
      </x:c>
      <x:c r="T29" s="32" t="n">
        <x:v>46229.833333333336</x:v>
      </x:c>
      <x:c r="U29" s="20" t="str"/>
      <x:c r="V29" s="20" t="str">
        <x:v>Belum Diverifikasi</x:v>
      </x:c>
      <x:c r="W29" s="20" t="str"/>
      <x:c r="X29" s="20" t="str"/>
      <x:c r="Y29" s="20" t="str">
        <x:v>Ya</x:v>
      </x:c>
      <x:c r="Z29" s="20" t="str">
        <x:v>A/B/C</x:v>
      </x:c>
      <x:c r="AA29" s="33" t="n">
        <x:f>IF(L29="","",L29-TODAY())</x:f>
        <x:v>14</x:v>
      </x:c>
      <x:c r="AB29" s="20" t="str">
        <x:f>IF(AND(L29&lt;&gt;"",L29&lt;TODAY(),M29&lt;&gt;"Selesai &amp; Terverifikasi",M29&lt;&gt;"Tidak Berlaku"),"OVERDUE","")</x:f>
      </x:c>
      <x:c r="AC29" s="20" t="n">
        <x:f>IF(J29="Critical",4,IF(J29="High",3,IF(J29="Medium",2,1)))</x:f>
        <x:v>4</x:v>
      </x:c>
      <x:c r="AD29" s="20" t="n">
        <x:f>N29*AC29</x:f>
        <x:v>0</x:v>
      </x:c>
    </x:row>
    <x:row r="30">
      <x:c r="A30" s="20" t="str">
        <x:v>TSK-029</x:v>
      </x:c>
      <x:c r="B30" s="20" t="str">
        <x:v>EVT-RAKOR</x:v>
      </x:c>
      <x:c r="C30" s="20" t="str">
        <x:v>Ruang Keupula</x:v>
      </x:c>
      <x:c r="D30" s="20" t="str">
        <x:v>Venue &amp; Event</x:v>
      </x:c>
      <x:c r="E30" s="20" t="str">
        <x:v>Siapkan venue cadangan</x:v>
      </x:c>
      <x:c r="F30" s="20" t="str">
        <x:v>Venue fallback disetujui bila renovasi Ruang Keupula terlambat.</x:v>
      </x:c>
      <x:c r="G30" s="20" t="str">
        <x:v>Shared</x:v>
      </x:c>
      <x:c r="H30" s="20" t="str">
        <x:v>Tempat &amp; Acara</x:v>
      </x:c>
      <x:c r="I30" s="20" t="str">
        <x:v>Zulfajri Ery Syahputra</x:v>
      </x:c>
      <x:c r="J30" s="20" t="str">
        <x:v>Critical</x:v>
      </x:c>
      <x:c r="K30" s="30" t="n">
        <x:v>46230</x:v>
      </x:c>
      <x:c r="L30" s="30" t="n">
        <x:v>46239</x:v>
      </x:c>
      <x:c r="M30" s="20" t="str">
        <x:v>Belum Dimulai</x:v>
      </x:c>
      <x:c r="N30" s="31" t="n">
        <x:v>0</x:v>
      </x:c>
      <x:c r="O30" s="20" t="str">
        <x:f>IF(M30="Selesai &amp; Terverifikasi","Ready",IF(M30="Terkendala","Not Ready",IF(AND(J30="Critical",L30&lt;=TODAY()+3,N30&lt;100),"At Risk","In Progress")))</x:f>
        <x:v>In Progress</x:v>
      </x:c>
      <x:c r="P30" s="20" t="str"/>
      <x:c r="Q30" s="20" t="str"/>
      <x:c r="R30" s="20" t="str"/>
      <x:c r="S30" s="20" t="str">
        <x:v>Initial Setup</x:v>
      </x:c>
      <x:c r="T30" s="32" t="n">
        <x:v>46229.833333333336</x:v>
      </x:c>
      <x:c r="U30" s="20" t="str"/>
      <x:c r="V30" s="20" t="str">
        <x:v>Belum Diverifikasi</x:v>
      </x:c>
      <x:c r="W30" s="20" t="str"/>
      <x:c r="X30" s="20" t="str"/>
      <x:c r="Y30" s="20" t="str">
        <x:v>Ya</x:v>
      </x:c>
      <x:c r="Z30" s="20" t="str">
        <x:v>A/B/C</x:v>
      </x:c>
      <x:c r="AA30" s="33" t="n">
        <x:f>IF(L30="","",L30-TODAY())</x:f>
        <x:v>10</x:v>
      </x:c>
      <x:c r="AB30" s="20" t="str">
        <x:f>IF(AND(L30&lt;&gt;"",L30&lt;TODAY(),M30&lt;&gt;"Selesai &amp; Terverifikasi",M30&lt;&gt;"Tidak Berlaku"),"OVERDUE","")</x:f>
      </x:c>
      <x:c r="AC30" s="20" t="n">
        <x:f>IF(J30="Critical",4,IF(J30="High",3,IF(J30="Medium",2,1)))</x:f>
        <x:v>4</x:v>
      </x:c>
      <x:c r="AD30" s="20" t="n">
        <x:f>N30*AC30</x:f>
        <x:v>0</x:v>
      </x:c>
    </x:row>
    <x:row r="31">
      <x:c r="A31" s="20" t="str">
        <x:v>TSK-030</x:v>
      </x:c>
      <x:c r="B31" s="20" t="str">
        <x:v>EVT-RAKOR</x:v>
      </x:c>
      <x:c r="C31" s="20" t="str">
        <x:v>Ruang Keupula</x:v>
      </x:c>
      <x:c r="D31" s="20" t="str">
        <x:v>Venue &amp; Event</x:v>
      </x:c>
      <x:c r="E31" s="20" t="str">
        <x:v>Final inspection dan handover Ruang Keupula</x:v>
      </x:c>
      <x:c r="F31" s="20" t="str">
        <x:v>Checklist ditandatangani PIM, EO dan pengguna.</x:v>
      </x:c>
      <x:c r="G31" s="20" t="str">
        <x:v>Shared</x:v>
      </x:c>
      <x:c r="H31" s="20" t="str">
        <x:v>Tempat &amp; Acara</x:v>
      </x:c>
      <x:c r="I31" s="20" t="str">
        <x:v>Zulfajri Ery Syahputra</x:v>
      </x:c>
      <x:c r="J31" s="20" t="str">
        <x:v>Critical</x:v>
      </x:c>
      <x:c r="K31" s="30" t="n">
        <x:v>46230</x:v>
      </x:c>
      <x:c r="L31" s="30" t="n">
        <x:v>46243</x:v>
      </x:c>
      <x:c r="M31" s="20" t="str">
        <x:v>Belum Dimulai</x:v>
      </x:c>
      <x:c r="N31" s="31" t="n">
        <x:v>0</x:v>
      </x:c>
      <x:c r="O31" s="20" t="str">
        <x:f>IF(M31="Selesai &amp; Terverifikasi","Ready",IF(M31="Terkendala","Not Ready",IF(AND(J31="Critical",L31&lt;=TODAY()+3,N31&lt;100),"At Risk","In Progress")))</x:f>
        <x:v>In Progress</x:v>
      </x:c>
      <x:c r="P31" s="20" t="str"/>
      <x:c r="Q31" s="20" t="str"/>
      <x:c r="R31" s="20" t="str"/>
      <x:c r="S31" s="20" t="str">
        <x:v>Initial Setup</x:v>
      </x:c>
      <x:c r="T31" s="32" t="n">
        <x:v>46229.833333333336</x:v>
      </x:c>
      <x:c r="U31" s="20" t="str"/>
      <x:c r="V31" s="20" t="str">
        <x:v>Belum Diverifikasi</x:v>
      </x:c>
      <x:c r="W31" s="20" t="str"/>
      <x:c r="X31" s="20" t="str"/>
      <x:c r="Y31" s="20" t="str">
        <x:v>Ya</x:v>
      </x:c>
      <x:c r="Z31" s="20" t="str">
        <x:v>A/B/C</x:v>
      </x:c>
      <x:c r="AA31" s="33" t="n">
        <x:f>IF(L31="","",L31-TODAY())</x:f>
        <x:v>14</x:v>
      </x:c>
      <x:c r="AB31" s="20" t="str">
        <x:f>IF(AND(L31&lt;&gt;"",L31&lt;TODAY(),M31&lt;&gt;"Selesai &amp; Terverifikasi",M31&lt;&gt;"Tidak Berlaku"),"OVERDUE","")</x:f>
      </x:c>
      <x:c r="AC31" s="20" t="n">
        <x:f>IF(J31="Critical",4,IF(J31="High",3,IF(J31="Medium",2,1)))</x:f>
        <x:v>4</x:v>
      </x:c>
      <x:c r="AD31" s="20" t="n">
        <x:f>N31*AC31</x:f>
        <x:v>0</x:v>
      </x:c>
    </x:row>
    <x:row r="32">
      <x:c r="A32" s="20" t="str">
        <x:v>TSK-031</x:v>
      </x:c>
      <x:c r="B32" s="20" t="str">
        <x:v>EVT-RAKER</x:v>
      </x:c>
      <x:c r="C32" s="20" t="str">
        <x:v>Tenda di sebelah Gedung Pertemuan</x:v>
      </x:c>
      <x:c r="D32" s="20" t="str">
        <x:v>Venue &amp; Event</x:v>
      </x:c>
      <x:c r="E32" s="20" t="str">
        <x:v>Finalisasi layout Tenda Roder</x:v>
      </x:c>
      <x:c r="F32" s="20" t="str">
        <x:v>Layout panggung, seating, AV, sirkulasi, pintu keluar dan service area disetujui.</x:v>
      </x:c>
      <x:c r="G32" s="20" t="str">
        <x:v>EO</x:v>
      </x:c>
      <x:c r="H32" s="20" t="str">
        <x:v>Tempat &amp; Acara</x:v>
      </x:c>
      <x:c r="I32" s="20" t="str">
        <x:v>Zulfajri Ery Syahputra</x:v>
      </x:c>
      <x:c r="J32" s="20" t="str">
        <x:v>Critical</x:v>
      </x:c>
      <x:c r="K32" s="30" t="n">
        <x:v>46230</x:v>
      </x:c>
      <x:c r="L32" s="30" t="n">
        <x:v>46234</x:v>
      </x:c>
      <x:c r="M32" s="20" t="str">
        <x:v>Belum Dimulai</x:v>
      </x:c>
      <x:c r="N32" s="31" t="n">
        <x:v>10</x:v>
      </x:c>
      <x:c r="O32" s="20" t="str">
        <x:f>IF(M32="Selesai &amp; Terverifikasi","Ready",IF(M32="Terkendala","Not Ready",IF(AND(J32="Critical",L32&lt;=TODAY()+3,N32&lt;100),"At Risk","In Progress")))</x:f>
        <x:v>In Progress</x:v>
      </x:c>
      <x:c r="P32" s="20" t="str">
        <x:v>Layout EO masih TBC.</x:v>
      </x:c>
      <x:c r="Q32" s="20" t="str">
        <x:v>Minta layout final dari EO.</x:v>
      </x:c>
      <x:c r="R32" s="20" t="str"/>
      <x:c r="S32" s="20" t="str">
        <x:v>Initial Setup</x:v>
      </x:c>
      <x:c r="T32" s="32" t="n">
        <x:v>46229.833333333336</x:v>
      </x:c>
      <x:c r="U32" s="20" t="str"/>
      <x:c r="V32" s="20" t="str">
        <x:v>Belum Diverifikasi</x:v>
      </x:c>
      <x:c r="W32" s="20" t="str"/>
      <x:c r="X32" s="20" t="str"/>
      <x:c r="Y32" s="20" t="str">
        <x:v>Ya</x:v>
      </x:c>
      <x:c r="Z32" s="20" t="str">
        <x:v>A/B/C/D</x:v>
      </x:c>
      <x:c r="AA32" s="33" t="n">
        <x:f>IF(L32="","",L32-TODAY())</x:f>
        <x:v>5</x:v>
      </x:c>
      <x:c r="AB32" s="20" t="str">
        <x:f>IF(AND(L32&lt;&gt;"",L32&lt;TODAY(),M32&lt;&gt;"Selesai &amp; Terverifikasi",M32&lt;&gt;"Tidak Berlaku"),"OVERDUE","")</x:f>
      </x:c>
      <x:c r="AC32" s="20" t="n">
        <x:f>IF(J32="Critical",4,IF(J32="High",3,IF(J32="Medium",2,1)))</x:f>
        <x:v>4</x:v>
      </x:c>
      <x:c r="AD32" s="20" t="n">
        <x:f>N32*AC32</x:f>
        <x:v>40</x:v>
      </x:c>
    </x:row>
    <x:row r="33">
      <x:c r="A33" s="20" t="str">
        <x:v>TSK-032</x:v>
      </x:c>
      <x:c r="B33" s="20" t="str">
        <x:v>EVT-RAKER</x:v>
      </x:c>
      <x:c r="C33" s="20" t="str">
        <x:v>Tenda di sebelah Gedung Pertemuan</x:v>
      </x:c>
      <x:c r="D33" s="20" t="str">
        <x:v>Venue &amp; Event</x:v>
      </x:c>
      <x:c r="E33" s="20" t="str">
        <x:v>Konfirmasi ukuran dan kapasitas tenda</x:v>
      </x:c>
      <x:c r="F33" s="20" t="str">
        <x:v>Tenda ±40×50 m dan kapasitas sesuai headcount final.</x:v>
      </x:c>
      <x:c r="G33" s="20" t="str">
        <x:v>EO</x:v>
      </x:c>
      <x:c r="H33" s="20" t="str">
        <x:v>Tempat &amp; Acara</x:v>
      </x:c>
      <x:c r="I33" s="20" t="str">
        <x:v>Zulfajri Ery Syahputra</x:v>
      </x:c>
      <x:c r="J33" s="20" t="str">
        <x:v>Critical</x:v>
      </x:c>
      <x:c r="K33" s="30" t="n">
        <x:v>46230</x:v>
      </x:c>
      <x:c r="L33" s="30" t="n">
        <x:v>46235</x:v>
      </x:c>
      <x:c r="M33" s="20" t="str">
        <x:v>Belum Dimulai</x:v>
      </x:c>
      <x:c r="N33" s="31" t="n">
        <x:v>0</x:v>
      </x:c>
      <x:c r="O33" s="20" t="str">
        <x:f>IF(M33="Selesai &amp; Terverifikasi","Ready",IF(M33="Terkendala","Not Ready",IF(AND(J33="Critical",L33&lt;=TODAY()+3,N33&lt;100),"At Risk","In Progress")))</x:f>
        <x:v>In Progress</x:v>
      </x:c>
      <x:c r="P33" s="20" t="str"/>
      <x:c r="Q33" s="20" t="str"/>
      <x:c r="R33" s="20" t="str"/>
      <x:c r="S33" s="20" t="str">
        <x:v>Initial Setup</x:v>
      </x:c>
      <x:c r="T33" s="32" t="n">
        <x:v>46229.833333333336</x:v>
      </x:c>
      <x:c r="U33" s="20" t="str"/>
      <x:c r="V33" s="20" t="str">
        <x:v>Belum Diverifikasi</x:v>
      </x:c>
      <x:c r="W33" s="20" t="str"/>
      <x:c r="X33" s="20" t="str"/>
      <x:c r="Y33" s="20" t="str">
        <x:v>Ya</x:v>
      </x:c>
      <x:c r="Z33" s="20" t="str">
        <x:v>A/B/C/D</x:v>
      </x:c>
      <x:c r="AA33" s="33" t="n">
        <x:f>IF(L33="","",L33-TODAY())</x:f>
        <x:v>6</x:v>
      </x:c>
      <x:c r="AB33" s="20" t="str">
        <x:f>IF(AND(L33&lt;&gt;"",L33&lt;TODAY(),M33&lt;&gt;"Selesai &amp; Terverifikasi",M33&lt;&gt;"Tidak Berlaku"),"OVERDUE","")</x:f>
      </x:c>
      <x:c r="AC33" s="20" t="n">
        <x:f>IF(J33="Critical",4,IF(J33="High",3,IF(J33="Medium",2,1)))</x:f>
        <x:v>4</x:v>
      </x:c>
      <x:c r="AD33" s="20" t="n">
        <x:f>N33*AC33</x:f>
        <x:v>0</x:v>
      </x:c>
    </x:row>
    <x:row r="34">
      <x:c r="A34" s="20" t="str">
        <x:v>TSK-033</x:v>
      </x:c>
      <x:c r="B34" s="20" t="str">
        <x:v>EVT-RAKER</x:v>
      </x:c>
      <x:c r="C34" s="20" t="str">
        <x:v>Tenda di sebelah Gedung Pertemuan</x:v>
      </x:c>
      <x:c r="D34" s="20" t="str">
        <x:v>Venue &amp; Event</x:v>
      </x:c>
      <x:c r="E34" s="20" t="str">
        <x:v>Erection tenda dan flooring</x:v>
      </x:c>
      <x:c r="F34" s="20" t="str">
        <x:v>Struktur, flooring dan anchoring selesai serta aman.</x:v>
      </x:c>
      <x:c r="G34" s="20" t="str">
        <x:v>EO</x:v>
      </x:c>
      <x:c r="H34" s="20" t="str">
        <x:v>Tempat &amp; Acara</x:v>
      </x:c>
      <x:c r="I34" s="20" t="str">
        <x:v>Zulfajri Ery Syahputra</x:v>
      </x:c>
      <x:c r="J34" s="20" t="str">
        <x:v>Critical</x:v>
      </x:c>
      <x:c r="K34" s="30" t="n">
        <x:v>46230</x:v>
      </x:c>
      <x:c r="L34" s="30" t="n">
        <x:v>46240</x:v>
      </x:c>
      <x:c r="M34" s="20" t="str">
        <x:v>Belum Dimulai</x:v>
      </x:c>
      <x:c r="N34" s="31" t="n">
        <x:v>0</x:v>
      </x:c>
      <x:c r="O34" s="20" t="str">
        <x:f>IF(M34="Selesai &amp; Terverifikasi","Ready",IF(M34="Terkendala","Not Ready",IF(AND(J34="Critical",L34&lt;=TODAY()+3,N34&lt;100),"At Risk","In Progress")))</x:f>
        <x:v>In Progress</x:v>
      </x:c>
      <x:c r="P34" s="20" t="str"/>
      <x:c r="Q34" s="20" t="str"/>
      <x:c r="R34" s="20" t="str"/>
      <x:c r="S34" s="20" t="str">
        <x:v>Initial Setup</x:v>
      </x:c>
      <x:c r="T34" s="32" t="n">
        <x:v>46229.833333333336</x:v>
      </x:c>
      <x:c r="U34" s="20" t="str"/>
      <x:c r="V34" s="20" t="str">
        <x:v>Belum Diverifikasi</x:v>
      </x:c>
      <x:c r="W34" s="20" t="str"/>
      <x:c r="X34" s="20" t="str"/>
      <x:c r="Y34" s="20" t="str">
        <x:v>Ya</x:v>
      </x:c>
      <x:c r="Z34" s="20" t="str">
        <x:v>A/B/C/D</x:v>
      </x:c>
      <x:c r="AA34" s="33" t="n">
        <x:f>IF(L34="","",L34-TODAY())</x:f>
        <x:v>11</x:v>
      </x:c>
      <x:c r="AB34" s="20" t="str">
        <x:f>IF(AND(L34&lt;&gt;"",L34&lt;TODAY(),M34&lt;&gt;"Selesai &amp; Terverifikasi",M34&lt;&gt;"Tidak Berlaku"),"OVERDUE","")</x:f>
      </x:c>
      <x:c r="AC34" s="20" t="n">
        <x:f>IF(J34="Critical",4,IF(J34="High",3,IF(J34="Medium",2,1)))</x:f>
        <x:v>4</x:v>
      </x:c>
      <x:c r="AD34" s="20" t="n">
        <x:f>N34*AC34</x:f>
        <x:v>0</x:v>
      </x:c>
    </x:row>
    <x:row r="35">
      <x:c r="A35" s="20" t="str">
        <x:v>TSK-034</x:v>
      </x:c>
      <x:c r="B35" s="20" t="str">
        <x:v>EVT-RAKER</x:v>
      </x:c>
      <x:c r="C35" s="20" t="str">
        <x:v>Tenda di sebelah Gedung Pertemuan</x:v>
      </x:c>
      <x:c r="D35" s="20" t="str">
        <x:v>Venue &amp; Event</x:v>
      </x:c>
      <x:c r="E35" s="20" t="str">
        <x:v>Pemeriksaan ketahanan angin dan hujan</x:v>
      </x:c>
      <x:c r="F35" s="20" t="str">
        <x:v>Metode kerja, drainase dan perlindungan cuaca disetujui.</x:v>
      </x:c>
      <x:c r="G35" s="20" t="str">
        <x:v>EO</x:v>
      </x:c>
      <x:c r="H35" s="20" t="str">
        <x:v>Tempat &amp; Acara</x:v>
      </x:c>
      <x:c r="I35" s="20" t="str">
        <x:v>Zulfajri Ery Syahputra</x:v>
      </x:c>
      <x:c r="J35" s="20" t="str">
        <x:v>Critical</x:v>
      </x:c>
      <x:c r="K35" s="30" t="n">
        <x:v>46230</x:v>
      </x:c>
      <x:c r="L35" s="30" t="n">
        <x:v>46240</x:v>
      </x:c>
      <x:c r="M35" s="20" t="str">
        <x:v>Belum Dimulai</x:v>
      </x:c>
      <x:c r="N35" s="31" t="n">
        <x:v>0</x:v>
      </x:c>
      <x:c r="O35" s="20" t="str">
        <x:f>IF(M35="Selesai &amp; Terverifikasi","Ready",IF(M35="Terkendala","Not Ready",IF(AND(J35="Critical",L35&lt;=TODAY()+3,N35&lt;100),"At Risk","In Progress")))</x:f>
        <x:v>In Progress</x:v>
      </x:c>
      <x:c r="P35" s="20" t="str"/>
      <x:c r="Q35" s="20" t="str"/>
      <x:c r="R35" s="20" t="str"/>
      <x:c r="S35" s="20" t="str">
        <x:v>Initial Setup</x:v>
      </x:c>
      <x:c r="T35" s="32" t="n">
        <x:v>46229.833333333336</x:v>
      </x:c>
      <x:c r="U35" s="20" t="str"/>
      <x:c r="V35" s="20" t="str">
        <x:v>Belum Diverifikasi</x:v>
      </x:c>
      <x:c r="W35" s="20" t="str"/>
      <x:c r="X35" s="20" t="str"/>
      <x:c r="Y35" s="20" t="str">
        <x:v>Ya</x:v>
      </x:c>
      <x:c r="Z35" s="20" t="str">
        <x:v>A/B/C/D</x:v>
      </x:c>
      <x:c r="AA35" s="33" t="n">
        <x:f>IF(L35="","",L35-TODAY())</x:f>
        <x:v>11</x:v>
      </x:c>
      <x:c r="AB35" s="20" t="str">
        <x:f>IF(AND(L35&lt;&gt;"",L35&lt;TODAY(),M35&lt;&gt;"Selesai &amp; Terverifikasi",M35&lt;&gt;"Tidak Berlaku"),"OVERDUE","")</x:f>
      </x:c>
      <x:c r="AC35" s="20" t="n">
        <x:f>IF(J35="Critical",4,IF(J35="High",3,IF(J35="Medium",2,1)))</x:f>
        <x:v>4</x:v>
      </x:c>
      <x:c r="AD35" s="20" t="n">
        <x:f>N35*AC35</x:f>
        <x:v>0</x:v>
      </x:c>
    </x:row>
    <x:row r="36">
      <x:c r="A36" s="20" t="str">
        <x:v>TSK-035</x:v>
      </x:c>
      <x:c r="B36" s="20" t="str">
        <x:v>EVT-RAKER</x:v>
      </x:c>
      <x:c r="C36" s="20" t="str">
        <x:v>Tenda di sebelah Gedung Pertemuan</x:v>
      </x:c>
      <x:c r="D36" s="20" t="str">
        <x:v>Venue &amp; Event</x:v>
      </x:c>
      <x:c r="E36" s="20" t="str">
        <x:v>Siapkan pendingin ruangan tenda</x:v>
      </x:c>
      <x:c r="F36" s="20" t="str">
        <x:v>Kapasitas AC/cooling mencukupi dan distribusi udara merata.</x:v>
      </x:c>
      <x:c r="G36" s="20" t="str">
        <x:v>EO</x:v>
      </x:c>
      <x:c r="H36" s="20" t="str">
        <x:v>Tempat &amp; Acara</x:v>
      </x:c>
      <x:c r="I36" s="20" t="str">
        <x:v>Zulfajri Ery Syahputra</x:v>
      </x:c>
      <x:c r="J36" s="20" t="str">
        <x:v>Critical</x:v>
      </x:c>
      <x:c r="K36" s="30" t="n">
        <x:v>46230</x:v>
      </x:c>
      <x:c r="L36" s="30" t="n">
        <x:v>46241</x:v>
      </x:c>
      <x:c r="M36" s="20" t="str">
        <x:v>Belum Dimulai</x:v>
      </x:c>
      <x:c r="N36" s="31" t="n">
        <x:v>0</x:v>
      </x:c>
      <x:c r="O36" s="20" t="str">
        <x:f>IF(M36="Selesai &amp; Terverifikasi","Ready",IF(M36="Terkendala","Not Ready",IF(AND(J36="Critical",L36&lt;=TODAY()+3,N36&lt;100),"At Risk","In Progress")))</x:f>
        <x:v>In Progress</x:v>
      </x:c>
      <x:c r="P36" s="20" t="str"/>
      <x:c r="Q36" s="20" t="str"/>
      <x:c r="R36" s="20" t="str"/>
      <x:c r="S36" s="20" t="str">
        <x:v>Initial Setup</x:v>
      </x:c>
      <x:c r="T36" s="32" t="n">
        <x:v>46229.833333333336</x:v>
      </x:c>
      <x:c r="U36" s="20" t="str"/>
      <x:c r="V36" s="20" t="str">
        <x:v>Belum Diverifikasi</x:v>
      </x:c>
      <x:c r="W36" s="20" t="str"/>
      <x:c r="X36" s="20" t="str"/>
      <x:c r="Y36" s="20" t="str">
        <x:v>Ya</x:v>
      </x:c>
      <x:c r="Z36" s="20" t="str">
        <x:v>A/B/C/D</x:v>
      </x:c>
      <x:c r="AA36" s="33" t="n">
        <x:f>IF(L36="","",L36-TODAY())</x:f>
        <x:v>12</x:v>
      </x:c>
      <x:c r="AB36" s="20" t="str">
        <x:f>IF(AND(L36&lt;&gt;"",L36&lt;TODAY(),M36&lt;&gt;"Selesai &amp; Terverifikasi",M36&lt;&gt;"Tidak Berlaku"),"OVERDUE","")</x:f>
      </x:c>
      <x:c r="AC36" s="20" t="n">
        <x:f>IF(J36="Critical",4,IF(J36="High",3,IF(J36="Medium",2,1)))</x:f>
        <x:v>4</x:v>
      </x:c>
      <x:c r="AD36" s="20" t="n">
        <x:f>N36*AC36</x:f>
        <x:v>0</x:v>
      </x:c>
    </x:row>
    <x:row r="37">
      <x:c r="A37" s="20" t="str">
        <x:v>TSK-036</x:v>
      </x:c>
      <x:c r="B37" s="20" t="str">
        <x:v>EVT-RAKER</x:v>
      </x:c>
      <x:c r="C37" s="20" t="str">
        <x:v>Tenda di sebelah Gedung Pertemuan</x:v>
      </x:c>
      <x:c r="D37" s="20" t="str">
        <x:v>Venue &amp; Event</x:v>
      </x:c>
      <x:c r="E37" s="20" t="str">
        <x:v>Siapkan genset dan backup power</x:v>
      </x:c>
      <x:c r="F37" s="20" t="str">
        <x:v>Kapasitas, bahan bakar, ATS dan backup diuji beban.</x:v>
      </x:c>
      <x:c r="G37" s="20" t="str">
        <x:v>EO</x:v>
      </x:c>
      <x:c r="H37" s="20" t="str">
        <x:v>Tempat &amp; Acara</x:v>
      </x:c>
      <x:c r="I37" s="20" t="str">
        <x:v>Zulfajri Ery Syahputra</x:v>
      </x:c>
      <x:c r="J37" s="20" t="str">
        <x:v>Critical</x:v>
      </x:c>
      <x:c r="K37" s="30" t="n">
        <x:v>46230</x:v>
      </x:c>
      <x:c r="L37" s="30" t="n">
        <x:v>46241</x:v>
      </x:c>
      <x:c r="M37" s="20" t="str">
        <x:v>Belum Dimulai</x:v>
      </x:c>
      <x:c r="N37" s="31" t="n">
        <x:v>0</x:v>
      </x:c>
      <x:c r="O37" s="20" t="str">
        <x:f>IF(M37="Selesai &amp; Terverifikasi","Ready",IF(M37="Terkendala","Not Ready",IF(AND(J37="Critical",L37&lt;=TODAY()+3,N37&lt;100),"At Risk","In Progress")))</x:f>
        <x:v>In Progress</x:v>
      </x:c>
      <x:c r="P37" s="20" t="str"/>
      <x:c r="Q37" s="20" t="str"/>
      <x:c r="R37" s="20" t="str"/>
      <x:c r="S37" s="20" t="str">
        <x:v>Initial Setup</x:v>
      </x:c>
      <x:c r="T37" s="32" t="n">
        <x:v>46229.833333333336</x:v>
      </x:c>
      <x:c r="U37" s="20" t="str"/>
      <x:c r="V37" s="20" t="str">
        <x:v>Belum Diverifikasi</x:v>
      </x:c>
      <x:c r="W37" s="20" t="str"/>
      <x:c r="X37" s="20" t="str"/>
      <x:c r="Y37" s="20" t="str">
        <x:v>Ya</x:v>
      </x:c>
      <x:c r="Z37" s="20" t="str">
        <x:v>A/B/C/D</x:v>
      </x:c>
      <x:c r="AA37" s="33" t="n">
        <x:f>IF(L37="","",L37-TODAY())</x:f>
        <x:v>12</x:v>
      </x:c>
      <x:c r="AB37" s="20" t="str">
        <x:f>IF(AND(L37&lt;&gt;"",L37&lt;TODAY(),M37&lt;&gt;"Selesai &amp; Terverifikasi",M37&lt;&gt;"Tidak Berlaku"),"OVERDUE","")</x:f>
      </x:c>
      <x:c r="AC37" s="20" t="n">
        <x:f>IF(J37="Critical",4,IF(J37="High",3,IF(J37="Medium",2,1)))</x:f>
        <x:v>4</x:v>
      </x:c>
      <x:c r="AD37" s="20" t="n">
        <x:f>N37*AC37</x:f>
        <x:v>0</x:v>
      </x:c>
    </x:row>
    <x:row r="38">
      <x:c r="A38" s="20" t="str">
        <x:v>TSK-037</x:v>
      </x:c>
      <x:c r="B38" s="20" t="str">
        <x:v>EVT-RAKER</x:v>
      </x:c>
      <x:c r="C38" s="20" t="str">
        <x:v>Tenda di sebelah Gedung Pertemuan</x:v>
      </x:c>
      <x:c r="D38" s="20" t="str">
        <x:v>Venue &amp; Event</x:v>
      </x:c>
      <x:c r="E38" s="20" t="str">
        <x:v>Siapkan panggung dan backdrop</x:v>
      </x:c>
      <x:c r="F38" s="20" t="str">
        <x:v>Ukuran, branding, akses dan keamanan panggung disetujui.</x:v>
      </x:c>
      <x:c r="G38" s="20" t="str">
        <x:v>EO</x:v>
      </x:c>
      <x:c r="H38" s="20" t="str">
        <x:v>Tempat &amp; Acara</x:v>
      </x:c>
      <x:c r="I38" s="20" t="str">
        <x:v>Zulfajri Ery Syahputra</x:v>
      </x:c>
      <x:c r="J38" s="20" t="str">
        <x:v>High</x:v>
      </x:c>
      <x:c r="K38" s="30" t="n">
        <x:v>46230</x:v>
      </x:c>
      <x:c r="L38" s="30" t="n">
        <x:v>46241</x:v>
      </x:c>
      <x:c r="M38" s="20" t="str">
        <x:v>Belum Dimulai</x:v>
      </x:c>
      <x:c r="N38" s="31" t="n">
        <x:v>0</x:v>
      </x:c>
      <x:c r="O38" s="20" t="str">
        <x:f>IF(M38="Selesai &amp; Terverifikasi","Ready",IF(M38="Terkendala","Not Ready",IF(AND(J38="Critical",L38&lt;=TODAY()+3,N38&lt;100),"At Risk","In Progress")))</x:f>
        <x:v>In Progress</x:v>
      </x:c>
      <x:c r="P38" s="20" t="str"/>
      <x:c r="Q38" s="20" t="str"/>
      <x:c r="R38" s="20" t="str"/>
      <x:c r="S38" s="20" t="str">
        <x:v>Initial Setup</x:v>
      </x:c>
      <x:c r="T38" s="32" t="n">
        <x:v>46229.833333333336</x:v>
      </x:c>
      <x:c r="U38" s="20" t="str"/>
      <x:c r="V38" s="20" t="str">
        <x:v>Belum Diverifikasi</x:v>
      </x:c>
      <x:c r="W38" s="20" t="str"/>
      <x:c r="X38" s="20" t="str"/>
      <x:c r="Y38" s="20" t="str">
        <x:v>Ya</x:v>
      </x:c>
      <x:c r="Z38" s="20" t="str">
        <x:v>A/B/C/D</x:v>
      </x:c>
      <x:c r="AA38" s="33" t="n">
        <x:f>IF(L38="","",L38-TODAY())</x:f>
        <x:v>12</x:v>
      </x:c>
      <x:c r="AB38" s="20" t="str">
        <x:f>IF(AND(L38&lt;&gt;"",L38&lt;TODAY(),M38&lt;&gt;"Selesai &amp; Terverifikasi",M38&lt;&gt;"Tidak Berlaku"),"OVERDUE","")</x:f>
      </x:c>
      <x:c r="AC38" s="20" t="n">
        <x:f>IF(J38="Critical",4,IF(J38="High",3,IF(J38="Medium",2,1)))</x:f>
        <x:v>3</x:v>
      </x:c>
      <x:c r="AD38" s="20" t="n">
        <x:f>N38*AC38</x:f>
        <x:v>0</x:v>
      </x:c>
    </x:row>
    <x:row r="39">
      <x:c r="A39" s="20" t="str">
        <x:v>TSK-038</x:v>
      </x:c>
      <x:c r="B39" s="20" t="str">
        <x:v>EVT-RAKER</x:v>
      </x:c>
      <x:c r="C39" s="20" t="str">
        <x:v>Tenda di sebelah Gedung Pertemuan</x:v>
      </x:c>
      <x:c r="D39" s="20" t="str">
        <x:v>Venue &amp; Event</x:v>
      </x:c>
      <x:c r="E39" s="20" t="str">
        <x:v>Siapkan LED, audio dan mikrofon</x:v>
      </x:c>
      <x:c r="F39" s="20" t="str">
        <x:v>Sistem utama dan backup diuji dari seluruh area.</x:v>
      </x:c>
      <x:c r="G39" s="20" t="str">
        <x:v>EO</x:v>
      </x:c>
      <x:c r="H39" s="20" t="str">
        <x:v>Tempat &amp; Acara</x:v>
      </x:c>
      <x:c r="I39" s="20" t="str">
        <x:v>Zulfajri Ery Syahputra</x:v>
      </x:c>
      <x:c r="J39" s="20" t="str">
        <x:v>Critical</x:v>
      </x:c>
      <x:c r="K39" s="30" t="n">
        <x:v>46230</x:v>
      </x:c>
      <x:c r="L39" s="30" t="n">
        <x:v>46242</x:v>
      </x:c>
      <x:c r="M39" s="20" t="str">
        <x:v>Belum Dimulai</x:v>
      </x:c>
      <x:c r="N39" s="31" t="n">
        <x:v>0</x:v>
      </x:c>
      <x:c r="O39" s="20" t="str">
        <x:f>IF(M39="Selesai &amp; Terverifikasi","Ready",IF(M39="Terkendala","Not Ready",IF(AND(J39="Critical",L39&lt;=TODAY()+3,N39&lt;100),"At Risk","In Progress")))</x:f>
        <x:v>In Progress</x:v>
      </x:c>
      <x:c r="P39" s="20" t="str"/>
      <x:c r="Q39" s="20" t="str"/>
      <x:c r="R39" s="20" t="str"/>
      <x:c r="S39" s="20" t="str">
        <x:v>Initial Setup</x:v>
      </x:c>
      <x:c r="T39" s="32" t="n">
        <x:v>46229.833333333336</x:v>
      </x:c>
      <x:c r="U39" s="20" t="str"/>
      <x:c r="V39" s="20" t="str">
        <x:v>Belum Diverifikasi</x:v>
      </x:c>
      <x:c r="W39" s="20" t="str"/>
      <x:c r="X39" s="20" t="str"/>
      <x:c r="Y39" s="20" t="str">
        <x:v>Ya</x:v>
      </x:c>
      <x:c r="Z39" s="20" t="str">
        <x:v>A/B/C/D</x:v>
      </x:c>
      <x:c r="AA39" s="33" t="n">
        <x:f>IF(L39="","",L39-TODAY())</x:f>
        <x:v>13</x:v>
      </x:c>
      <x:c r="AB39" s="20" t="str">
        <x:f>IF(AND(L39&lt;&gt;"",L39&lt;TODAY(),M39&lt;&gt;"Selesai &amp; Terverifikasi",M39&lt;&gt;"Tidak Berlaku"),"OVERDUE","")</x:f>
      </x:c>
      <x:c r="AC39" s="20" t="n">
        <x:f>IF(J39="Critical",4,IF(J39="High",3,IF(J39="Medium",2,1)))</x:f>
        <x:v>4</x:v>
      </x:c>
      <x:c r="AD39" s="20" t="n">
        <x:f>N39*AC39</x:f>
        <x:v>0</x:v>
      </x:c>
    </x:row>
    <x:row r="40">
      <x:c r="A40" s="20" t="str">
        <x:v>TSK-039</x:v>
      </x:c>
      <x:c r="B40" s="20" t="str">
        <x:v>EVT-RAKER</x:v>
      </x:c>
      <x:c r="C40" s="20" t="str">
        <x:v>Tenda di sebelah Gedung Pertemuan</x:v>
      </x:c>
      <x:c r="D40" s="20" t="str">
        <x:v>Venue &amp; Event</x:v>
      </x:c>
      <x:c r="E40" s="20" t="str">
        <x:v>Siapkan internet dan jaringan</x:v>
      </x:c>
      <x:c r="F40" s="20" t="str">
        <x:v>Kapasitas pengguna dan koneksi cadangan diuji.</x:v>
      </x:c>
      <x:c r="G40" s="20" t="str">
        <x:v>EO</x:v>
      </x:c>
      <x:c r="H40" s="20" t="str">
        <x:v>Tempat &amp; Acara</x:v>
      </x:c>
      <x:c r="I40" s="20" t="str">
        <x:v>Zulfajri Ery Syahputra</x:v>
      </x:c>
      <x:c r="J40" s="20" t="str">
        <x:v>High</x:v>
      </x:c>
      <x:c r="K40" s="30" t="n">
        <x:v>46230</x:v>
      </x:c>
      <x:c r="L40" s="30" t="n">
        <x:v>46242</x:v>
      </x:c>
      <x:c r="M40" s="20" t="str">
        <x:v>Belum Dimulai</x:v>
      </x:c>
      <x:c r="N40" s="31" t="n">
        <x:v>0</x:v>
      </x:c>
      <x:c r="O40" s="20" t="str">
        <x:f>IF(M40="Selesai &amp; Terverifikasi","Ready",IF(M40="Terkendala","Not Ready",IF(AND(J40="Critical",L40&lt;=TODAY()+3,N40&lt;100),"At Risk","In Progress")))</x:f>
        <x:v>In Progress</x:v>
      </x:c>
      <x:c r="P40" s="20" t="str"/>
      <x:c r="Q40" s="20" t="str"/>
      <x:c r="R40" s="20" t="str"/>
      <x:c r="S40" s="20" t="str">
        <x:v>Initial Setup</x:v>
      </x:c>
      <x:c r="T40" s="32" t="n">
        <x:v>46229.833333333336</x:v>
      </x:c>
      <x:c r="U40" s="20" t="str"/>
      <x:c r="V40" s="20" t="str">
        <x:v>Belum Diverifikasi</x:v>
      </x:c>
      <x:c r="W40" s="20" t="str"/>
      <x:c r="X40" s="20" t="str"/>
      <x:c r="Y40" s="20" t="str">
        <x:v>Ya</x:v>
      </x:c>
      <x:c r="Z40" s="20" t="str">
        <x:v>A/B/C/D</x:v>
      </x:c>
      <x:c r="AA40" s="33" t="n">
        <x:f>IF(L40="","",L40-TODAY())</x:f>
        <x:v>13</x:v>
      </x:c>
      <x:c r="AB40" s="20" t="str">
        <x:f>IF(AND(L40&lt;&gt;"",L40&lt;TODAY(),M40&lt;&gt;"Selesai &amp; Terverifikasi",M40&lt;&gt;"Tidak Berlaku"),"OVERDUE","")</x:f>
      </x:c>
      <x:c r="AC40" s="20" t="n">
        <x:f>IF(J40="Critical",4,IF(J40="High",3,IF(J40="Medium",2,1)))</x:f>
        <x:v>3</x:v>
      </x:c>
      <x:c r="AD40" s="20" t="n">
        <x:f>N40*AC40</x:f>
        <x:v>0</x:v>
      </x:c>
    </x:row>
    <x:row r="41">
      <x:c r="A41" s="20" t="str">
        <x:v>TSK-040</x:v>
      </x:c>
      <x:c r="B41" s="20" t="str">
        <x:v>EVT-RAKER</x:v>
      </x:c>
      <x:c r="C41" s="20" t="str">
        <x:v>Tenda di sebelah Gedung Pertemuan</x:v>
      </x:c>
      <x:c r="D41" s="20" t="str">
        <x:v>Venue &amp; Event</x:v>
      </x:c>
      <x:c r="E41" s="20" t="str">
        <x:v>Siapkan pencahayaan internal dan akses luar</x:v>
      </x:c>
      <x:c r="F41" s="20" t="str">
        <x:v>Pencahayaan cukup, jalur aman dan emergency lighting berfungsi.</x:v>
      </x:c>
      <x:c r="G41" s="20" t="str">
        <x:v>EO</x:v>
      </x:c>
      <x:c r="H41" s="20" t="str">
        <x:v>Tempat &amp; Acara</x:v>
      </x:c>
      <x:c r="I41" s="20" t="str">
        <x:v>Zulfajri Ery Syahputra</x:v>
      </x:c>
      <x:c r="J41" s="20" t="str">
        <x:v>High</x:v>
      </x:c>
      <x:c r="K41" s="30" t="n">
        <x:v>46230</x:v>
      </x:c>
      <x:c r="L41" s="30" t="n">
        <x:v>46242</x:v>
      </x:c>
      <x:c r="M41" s="20" t="str">
        <x:v>Belum Dimulai</x:v>
      </x:c>
      <x:c r="N41" s="31" t="n">
        <x:v>0</x:v>
      </x:c>
      <x:c r="O41" s="20" t="str">
        <x:f>IF(M41="Selesai &amp; Terverifikasi","Ready",IF(M41="Terkendala","Not Ready",IF(AND(J41="Critical",L41&lt;=TODAY()+3,N41&lt;100),"At Risk","In Progress")))</x:f>
        <x:v>In Progress</x:v>
      </x:c>
      <x:c r="P41" s="20" t="str"/>
      <x:c r="Q41" s="20" t="str"/>
      <x:c r="R41" s="20" t="str"/>
      <x:c r="S41" s="20" t="str">
        <x:v>Initial Setup</x:v>
      </x:c>
      <x:c r="T41" s="32" t="n">
        <x:v>46229.833333333336</x:v>
      </x:c>
      <x:c r="U41" s="20" t="str"/>
      <x:c r="V41" s="20" t="str">
        <x:v>Belum Diverifikasi</x:v>
      </x:c>
      <x:c r="W41" s="20" t="str"/>
      <x:c r="X41" s="20" t="str"/>
      <x:c r="Y41" s="20" t="str">
        <x:v>Ya</x:v>
      </x:c>
      <x:c r="Z41" s="20" t="str">
        <x:v>A/B/C/D</x:v>
      </x:c>
      <x:c r="AA41" s="33" t="n">
        <x:f>IF(L41="","",L41-TODAY())</x:f>
        <x:v>13</x:v>
      </x:c>
      <x:c r="AB41" s="20" t="str">
        <x:f>IF(AND(L41&lt;&gt;"",L41&lt;TODAY(),M41&lt;&gt;"Selesai &amp; Terverifikasi",M41&lt;&gt;"Tidak Berlaku"),"OVERDUE","")</x:f>
      </x:c>
      <x:c r="AC41" s="20" t="n">
        <x:f>IF(J41="Critical",4,IF(J41="High",3,IF(J41="Medium",2,1)))</x:f>
        <x:v>3</x:v>
      </x:c>
      <x:c r="AD41" s="20" t="n">
        <x:f>N41*AC41</x:f>
        <x:v>0</x:v>
      </x:c>
    </x:row>
    <x:row r="42">
      <x:c r="A42" s="20" t="str">
        <x:v>TSK-041</x:v>
      </x:c>
      <x:c r="B42" s="20" t="str">
        <x:v>EVT-RAKER</x:v>
      </x:c>
      <x:c r="C42" s="20" t="str">
        <x:v>Tenda di sebelah Gedung Pertemuan</x:v>
      </x:c>
      <x:c r="D42" s="20" t="str">
        <x:v>Venue &amp; Event</x:v>
      </x:c>
      <x:c r="E42" s="20" t="str">
        <x:v>Siapkan meja, kursi dan seating plan</x:v>
      </x:c>
      <x:c r="F42" s="20" t="str">
        <x:v>Jumlah dan layout sesuai kelompok peserta.</x:v>
      </x:c>
      <x:c r="G42" s="20" t="str">
        <x:v>EO</x:v>
      </x:c>
      <x:c r="H42" s="20" t="str">
        <x:v>Tempat &amp; Acara</x:v>
      </x:c>
      <x:c r="I42" s="20" t="str">
        <x:v>Zulfajri Ery Syahputra</x:v>
      </x:c>
      <x:c r="J42" s="20" t="str">
        <x:v>High</x:v>
      </x:c>
      <x:c r="K42" s="30" t="n">
        <x:v>46230</x:v>
      </x:c>
      <x:c r="L42" s="30" t="n">
        <x:v>46242</x:v>
      </x:c>
      <x:c r="M42" s="20" t="str">
        <x:v>Belum Dimulai</x:v>
      </x:c>
      <x:c r="N42" s="31" t="n">
        <x:v>0</x:v>
      </x:c>
      <x:c r="O42" s="20" t="str">
        <x:f>IF(M42="Selesai &amp; Terverifikasi","Ready",IF(M42="Terkendala","Not Ready",IF(AND(J42="Critical",L42&lt;=TODAY()+3,N42&lt;100),"At Risk","In Progress")))</x:f>
        <x:v>In Progress</x:v>
      </x:c>
      <x:c r="P42" s="20" t="str"/>
      <x:c r="Q42" s="20" t="str"/>
      <x:c r="R42" s="20" t="str"/>
      <x:c r="S42" s="20" t="str">
        <x:v>Initial Setup</x:v>
      </x:c>
      <x:c r="T42" s="32" t="n">
        <x:v>46229.833333333336</x:v>
      </x:c>
      <x:c r="U42" s="20" t="str"/>
      <x:c r="V42" s="20" t="str">
        <x:v>Belum Diverifikasi</x:v>
      </x:c>
      <x:c r="W42" s="20" t="str"/>
      <x:c r="X42" s="20" t="str"/>
      <x:c r="Y42" s="20" t="str">
        <x:v>Ya</x:v>
      </x:c>
      <x:c r="Z42" s="20" t="str">
        <x:v>A/B/C/D</x:v>
      </x:c>
      <x:c r="AA42" s="33" t="n">
        <x:f>IF(L42="","",L42-TODAY())</x:f>
        <x:v>13</x:v>
      </x:c>
      <x:c r="AB42" s="20" t="str">
        <x:f>IF(AND(L42&lt;&gt;"",L42&lt;TODAY(),M42&lt;&gt;"Selesai &amp; Terverifikasi",M42&lt;&gt;"Tidak Berlaku"),"OVERDUE","")</x:f>
      </x:c>
      <x:c r="AC42" s="20" t="n">
        <x:f>IF(J42="Critical",4,IF(J42="High",3,IF(J42="Medium",2,1)))</x:f>
        <x:v>3</x:v>
      </x:c>
      <x:c r="AD42" s="20" t="n">
        <x:f>N42*AC42</x:f>
        <x:v>0</x:v>
      </x:c>
    </x:row>
    <x:row r="43">
      <x:c r="A43" s="20" t="str">
        <x:v>TSK-042</x:v>
      </x:c>
      <x:c r="B43" s="20" t="str">
        <x:v>EVT-RAKER</x:v>
      </x:c>
      <x:c r="C43" s="20" t="str">
        <x:v>Tenda di sebelah Gedung Pertemuan</x:v>
      </x:c>
      <x:c r="D43" s="20" t="str">
        <x:v>Venue &amp; Event</x:v>
      </x:c>
      <x:c r="E43" s="20" t="str">
        <x:v>Siapkan jalur akses dan signage</x:v>
      </x:c>
      <x:c r="F43" s="20" t="str">
        <x:v>Arah dari Plenary, konsultasi, makan dan toilet jelas.</x:v>
      </x:c>
      <x:c r="G43" s="20" t="str">
        <x:v>EO</x:v>
      </x:c>
      <x:c r="H43" s="20" t="str">
        <x:v>Tempat &amp; Acara</x:v>
      </x:c>
      <x:c r="I43" s="20" t="str">
        <x:v>Zulfajri Ery Syahputra</x:v>
      </x:c>
      <x:c r="J43" s="20" t="str">
        <x:v>High</x:v>
      </x:c>
      <x:c r="K43" s="30" t="n">
        <x:v>46230</x:v>
      </x:c>
      <x:c r="L43" s="30" t="n">
        <x:v>46242</x:v>
      </x:c>
      <x:c r="M43" s="20" t="str">
        <x:v>Belum Dimulai</x:v>
      </x:c>
      <x:c r="N43" s="31" t="n">
        <x:v>0</x:v>
      </x:c>
      <x:c r="O43" s="20" t="str">
        <x:f>IF(M43="Selesai &amp; Terverifikasi","Ready",IF(M43="Terkendala","Not Ready",IF(AND(J43="Critical",L43&lt;=TODAY()+3,N43&lt;100),"At Risk","In Progress")))</x:f>
        <x:v>In Progress</x:v>
      </x:c>
      <x:c r="P43" s="20" t="str"/>
      <x:c r="Q43" s="20" t="str"/>
      <x:c r="R43" s="20" t="str"/>
      <x:c r="S43" s="20" t="str">
        <x:v>Initial Setup</x:v>
      </x:c>
      <x:c r="T43" s="32" t="n">
        <x:v>46229.833333333336</x:v>
      </x:c>
      <x:c r="U43" s="20" t="str"/>
      <x:c r="V43" s="20" t="str">
        <x:v>Belum Diverifikasi</x:v>
      </x:c>
      <x:c r="W43" s="20" t="str"/>
      <x:c r="X43" s="20" t="str"/>
      <x:c r="Y43" s="20" t="str">
        <x:v>Ya</x:v>
      </x:c>
      <x:c r="Z43" s="20" t="str">
        <x:v>A/B/C/D</x:v>
      </x:c>
      <x:c r="AA43" s="33" t="n">
        <x:f>IF(L43="","",L43-TODAY())</x:f>
        <x:v>13</x:v>
      </x:c>
      <x:c r="AB43" s="20" t="str">
        <x:f>IF(AND(L43&lt;&gt;"",L43&lt;TODAY(),M43&lt;&gt;"Selesai &amp; Terverifikasi",M43&lt;&gt;"Tidak Berlaku"),"OVERDUE","")</x:f>
      </x:c>
      <x:c r="AC43" s="20" t="n">
        <x:f>IF(J43="Critical",4,IF(J43="High",3,IF(J43="Medium",2,1)))</x:f>
        <x:v>3</x:v>
      </x:c>
      <x:c r="AD43" s="20" t="n">
        <x:f>N43*AC43</x:f>
        <x:v>0</x:v>
      </x:c>
    </x:row>
    <x:row r="44">
      <x:c r="A44" s="20" t="str">
        <x:v>TSK-043</x:v>
      </x:c>
      <x:c r="B44" s="20" t="str">
        <x:v>EVT-RAKER</x:v>
      </x:c>
      <x:c r="C44" s="20" t="str">
        <x:v>Tenda di sebelah Gedung Pertemuan</x:v>
      </x:c>
      <x:c r="D44" s="20" t="str">
        <x:v>Venue &amp; Event</x:v>
      </x:c>
      <x:c r="E44" s="20" t="str">
        <x:v>Siapkan toilet dan fasilitas pendukung</x:v>
      </x:c>
      <x:c r="F44" s="20" t="str">
        <x:v>Kapasitas, kebersihan dan petugas tersedia.</x:v>
      </x:c>
      <x:c r="G44" s="20" t="str">
        <x:v>EO</x:v>
      </x:c>
      <x:c r="H44" s="20" t="str">
        <x:v>Tempat &amp; Acara</x:v>
      </x:c>
      <x:c r="I44" s="20" t="str">
        <x:v>Zulfajri Ery Syahputra</x:v>
      </x:c>
      <x:c r="J44" s="20" t="str">
        <x:v>High</x:v>
      </x:c>
      <x:c r="K44" s="30" t="n">
        <x:v>46230</x:v>
      </x:c>
      <x:c r="L44" s="30" t="n">
        <x:v>46242</x:v>
      </x:c>
      <x:c r="M44" s="20" t="str">
        <x:v>Belum Dimulai</x:v>
      </x:c>
      <x:c r="N44" s="31" t="n">
        <x:v>0</x:v>
      </x:c>
      <x:c r="O44" s="20" t="str">
        <x:f>IF(M44="Selesai &amp; Terverifikasi","Ready",IF(M44="Terkendala","Not Ready",IF(AND(J44="Critical",L44&lt;=TODAY()+3,N44&lt;100),"At Risk","In Progress")))</x:f>
        <x:v>In Progress</x:v>
      </x:c>
      <x:c r="P44" s="20" t="str"/>
      <x:c r="Q44" s="20" t="str"/>
      <x:c r="R44" s="20" t="str"/>
      <x:c r="S44" s="20" t="str">
        <x:v>Initial Setup</x:v>
      </x:c>
      <x:c r="T44" s="32" t="n">
        <x:v>46229.833333333336</x:v>
      </x:c>
      <x:c r="U44" s="20" t="str"/>
      <x:c r="V44" s="20" t="str">
        <x:v>Belum Diverifikasi</x:v>
      </x:c>
      <x:c r="W44" s="20" t="str"/>
      <x:c r="X44" s="20" t="str"/>
      <x:c r="Y44" s="20" t="str">
        <x:v>Ya</x:v>
      </x:c>
      <x:c r="Z44" s="20" t="str">
        <x:v>A/B/C/D</x:v>
      </x:c>
      <x:c r="AA44" s="33" t="n">
        <x:f>IF(L44="","",L44-TODAY())</x:f>
        <x:v>13</x:v>
      </x:c>
      <x:c r="AB44" s="20" t="str">
        <x:f>IF(AND(L44&lt;&gt;"",L44&lt;TODAY(),M44&lt;&gt;"Selesai &amp; Terverifikasi",M44&lt;&gt;"Tidak Berlaku"),"OVERDUE","")</x:f>
      </x:c>
      <x:c r="AC44" s="20" t="n">
        <x:f>IF(J44="Critical",4,IF(J44="High",3,IF(J44="Medium",2,1)))</x:f>
        <x:v>3</x:v>
      </x:c>
      <x:c r="AD44" s="20" t="n">
        <x:f>N44*AC44</x:f>
        <x:v>0</x:v>
      </x:c>
    </x:row>
    <x:row r="45">
      <x:c r="A45" s="20" t="str">
        <x:v>TSK-044</x:v>
      </x:c>
      <x:c r="B45" s="20" t="str">
        <x:v>EVT-RAKER</x:v>
      </x:c>
      <x:c r="C45" s="20" t="str">
        <x:v>Tenda di sebelah Gedung Pertemuan</x:v>
      </x:c>
      <x:c r="D45" s="20" t="str">
        <x:v>Venue &amp; Event</x:v>
      </x:c>
      <x:c r="E45" s="20" t="str">
        <x:v>Siapkan sistem keselamatan kebakaran</x:v>
      </x:c>
      <x:c r="F45" s="20" t="str">
        <x:v>APAR, exit sign, jalur evakuasi dan briefing tersedia.</x:v>
      </x:c>
      <x:c r="G45" s="20" t="str">
        <x:v>EO</x:v>
      </x:c>
      <x:c r="H45" s="20" t="str">
        <x:v>Tempat &amp; Acara</x:v>
      </x:c>
      <x:c r="I45" s="20" t="str">
        <x:v>Zulfajri Ery Syahputra</x:v>
      </x:c>
      <x:c r="J45" s="20" t="str">
        <x:v>Critical</x:v>
      </x:c>
      <x:c r="K45" s="30" t="n">
        <x:v>46230</x:v>
      </x:c>
      <x:c r="L45" s="30" t="n">
        <x:v>46242</x:v>
      </x:c>
      <x:c r="M45" s="20" t="str">
        <x:v>Belum Dimulai</x:v>
      </x:c>
      <x:c r="N45" s="31" t="n">
        <x:v>0</x:v>
      </x:c>
      <x:c r="O45" s="20" t="str">
        <x:f>IF(M45="Selesai &amp; Terverifikasi","Ready",IF(M45="Terkendala","Not Ready",IF(AND(J45="Critical",L45&lt;=TODAY()+3,N45&lt;100),"At Risk","In Progress")))</x:f>
        <x:v>In Progress</x:v>
      </x:c>
      <x:c r="P45" s="20" t="str"/>
      <x:c r="Q45" s="20" t="str"/>
      <x:c r="R45" s="20" t="str"/>
      <x:c r="S45" s="20" t="str">
        <x:v>Initial Setup</x:v>
      </x:c>
      <x:c r="T45" s="32" t="n">
        <x:v>46229.833333333336</x:v>
      </x:c>
      <x:c r="U45" s="20" t="str"/>
      <x:c r="V45" s="20" t="str">
        <x:v>Belum Diverifikasi</x:v>
      </x:c>
      <x:c r="W45" s="20" t="str"/>
      <x:c r="X45" s="20" t="str"/>
      <x:c r="Y45" s="20" t="str">
        <x:v>Ya</x:v>
      </x:c>
      <x:c r="Z45" s="20" t="str">
        <x:v>A/B/C/D</x:v>
      </x:c>
      <x:c r="AA45" s="33" t="n">
        <x:f>IF(L45="","",L45-TODAY())</x:f>
        <x:v>13</x:v>
      </x:c>
      <x:c r="AB45" s="20" t="str">
        <x:f>IF(AND(L45&lt;&gt;"",L45&lt;TODAY(),M45&lt;&gt;"Selesai &amp; Terverifikasi",M45&lt;&gt;"Tidak Berlaku"),"OVERDUE","")</x:f>
      </x:c>
      <x:c r="AC45" s="20" t="n">
        <x:f>IF(J45="Critical",4,IF(J45="High",3,IF(J45="Medium",2,1)))</x:f>
        <x:v>4</x:v>
      </x:c>
      <x:c r="AD45" s="20" t="n">
        <x:f>N45*AC45</x:f>
        <x:v>0</x:v>
      </x:c>
    </x:row>
    <x:row r="46">
      <x:c r="A46" s="20" t="str">
        <x:v>TSK-045</x:v>
      </x:c>
      <x:c r="B46" s="20" t="str">
        <x:v>EVT-RAKER</x:v>
      </x:c>
      <x:c r="C46" s="20" t="str">
        <x:v>Tenda di sebelah Gedung Pertemuan</x:v>
      </x:c>
      <x:c r="D46" s="20" t="str">
        <x:v>Venue &amp; Event</x:v>
      </x:c>
      <x:c r="E46" s="20" t="str">
        <x:v>Finalisasi agenda dan bahan Raker</x:v>
      </x:c>
      <x:c r="F46" s="20" t="str">
        <x:v>Topik, moderator, bahan presentasi dan kesimpulan siap.</x:v>
      </x:c>
      <x:c r="G46" s="20" t="str">
        <x:v>EO</x:v>
      </x:c>
      <x:c r="H46" s="20" t="str">
        <x:v>Tempat &amp; Acara</x:v>
      </x:c>
      <x:c r="I46" s="20" t="str">
        <x:v>Zulfajri Ery Syahputra</x:v>
      </x:c>
      <x:c r="J46" s="20" t="str">
        <x:v>Critical</x:v>
      </x:c>
      <x:c r="K46" s="30" t="n">
        <x:v>46230</x:v>
      </x:c>
      <x:c r="L46" s="30" t="n">
        <x:v>46239</x:v>
      </x:c>
      <x:c r="M46" s="20" t="str">
        <x:v>Belum Dimulai</x:v>
      </x:c>
      <x:c r="N46" s="31" t="n">
        <x:v>0</x:v>
      </x:c>
      <x:c r="O46" s="20" t="str">
        <x:f>IF(M46="Selesai &amp; Terverifikasi","Ready",IF(M46="Terkendala","Not Ready",IF(AND(J46="Critical",L46&lt;=TODAY()+3,N46&lt;100),"At Risk","In Progress")))</x:f>
        <x:v>In Progress</x:v>
      </x:c>
      <x:c r="P46" s="20" t="str"/>
      <x:c r="Q46" s="20" t="str"/>
      <x:c r="R46" s="20" t="str"/>
      <x:c r="S46" s="20" t="str">
        <x:v>Initial Setup</x:v>
      </x:c>
      <x:c r="T46" s="32" t="n">
        <x:v>46229.833333333336</x:v>
      </x:c>
      <x:c r="U46" s="20" t="str"/>
      <x:c r="V46" s="20" t="str">
        <x:v>Belum Diverifikasi</x:v>
      </x:c>
      <x:c r="W46" s="20" t="str"/>
      <x:c r="X46" s="20" t="str"/>
      <x:c r="Y46" s="20" t="str">
        <x:v>Ya</x:v>
      </x:c>
      <x:c r="Z46" s="20" t="str">
        <x:v>A/B/C/D</x:v>
      </x:c>
      <x:c r="AA46" s="33" t="n">
        <x:f>IF(L46="","",L46-TODAY())</x:f>
        <x:v>10</x:v>
      </x:c>
      <x:c r="AB46" s="20" t="str">
        <x:f>IF(AND(L46&lt;&gt;"",L46&lt;TODAY(),M46&lt;&gt;"Selesai &amp; Terverifikasi",M46&lt;&gt;"Tidak Berlaku"),"OVERDUE","")</x:f>
      </x:c>
      <x:c r="AC46" s="20" t="n">
        <x:f>IF(J46="Critical",4,IF(J46="High",3,IF(J46="Medium",2,1)))</x:f>
        <x:v>4</x:v>
      </x:c>
      <x:c r="AD46" s="20" t="n">
        <x:f>N46*AC46</x:f>
        <x:v>0</x:v>
      </x:c>
    </x:row>
    <x:row r="47">
      <x:c r="A47" s="20" t="str">
        <x:v>TSK-046</x:v>
      </x:c>
      <x:c r="B47" s="20" t="str">
        <x:v>EVT-RAKER</x:v>
      </x:c>
      <x:c r="C47" s="20" t="str">
        <x:v>Tenda di sebelah Gedung Pertemuan</x:v>
      </x:c>
      <x:c r="D47" s="20" t="str">
        <x:v>Venue &amp; Event</x:v>
      </x:c>
      <x:c r="E47" s="20" t="str">
        <x:v>Kumpulkan materi presentasi seluruh topik</x:v>
      </x:c>
      <x:c r="F47" s="20" t="str">
        <x:v>Semua file diterima, diberi versi dan diuji.</x:v>
      </x:c>
      <x:c r="G47" s="20" t="str">
        <x:v>EO</x:v>
      </x:c>
      <x:c r="H47" s="20" t="str">
        <x:v>Tempat &amp; Acara</x:v>
      </x:c>
      <x:c r="I47" s="20" t="str">
        <x:v>Zulfajri Ery Syahputra</x:v>
      </x:c>
      <x:c r="J47" s="20" t="str">
        <x:v>High</x:v>
      </x:c>
      <x:c r="K47" s="30" t="n">
        <x:v>46230</x:v>
      </x:c>
      <x:c r="L47" s="30" t="n">
        <x:v>46241</x:v>
      </x:c>
      <x:c r="M47" s="20" t="str">
        <x:v>Belum Dimulai</x:v>
      </x:c>
      <x:c r="N47" s="31" t="n">
        <x:v>0</x:v>
      </x:c>
      <x:c r="O47" s="20" t="str">
        <x:f>IF(M47="Selesai &amp; Terverifikasi","Ready",IF(M47="Terkendala","Not Ready",IF(AND(J47="Critical",L47&lt;=TODAY()+3,N47&lt;100),"At Risk","In Progress")))</x:f>
        <x:v>In Progress</x:v>
      </x:c>
      <x:c r="P47" s="20" t="str"/>
      <x:c r="Q47" s="20" t="str"/>
      <x:c r="R47" s="20" t="str"/>
      <x:c r="S47" s="20" t="str">
        <x:v>Initial Setup</x:v>
      </x:c>
      <x:c r="T47" s="32" t="n">
        <x:v>46229.833333333336</x:v>
      </x:c>
      <x:c r="U47" s="20" t="str"/>
      <x:c r="V47" s="20" t="str">
        <x:v>Belum Diverifikasi</x:v>
      </x:c>
      <x:c r="W47" s="20" t="str"/>
      <x:c r="X47" s="20" t="str"/>
      <x:c r="Y47" s="20" t="str">
        <x:v>Ya</x:v>
      </x:c>
      <x:c r="Z47" s="20" t="str">
        <x:v>A/B/C/D</x:v>
      </x:c>
      <x:c r="AA47" s="33" t="n">
        <x:f>IF(L47="","",L47-TODAY())</x:f>
        <x:v>12</x:v>
      </x:c>
      <x:c r="AB47" s="20" t="str">
        <x:f>IF(AND(L47&lt;&gt;"",L47&lt;TODAY(),M47&lt;&gt;"Selesai &amp; Terverifikasi",M47&lt;&gt;"Tidak Berlaku"),"OVERDUE","")</x:f>
      </x:c>
      <x:c r="AC47" s="20" t="n">
        <x:f>IF(J47="Critical",4,IF(J47="High",3,IF(J47="Medium",2,1)))</x:f>
        <x:v>3</x:v>
      </x:c>
      <x:c r="AD47" s="20" t="n">
        <x:f>N47*AC47</x:f>
        <x:v>0</x:v>
      </x:c>
    </x:row>
    <x:row r="48">
      <x:c r="A48" s="20" t="str">
        <x:v>TSK-047</x:v>
      </x:c>
      <x:c r="B48" s="20" t="str">
        <x:v>EVT-RAKER</x:v>
      </x:c>
      <x:c r="C48" s="20" t="str">
        <x:v>Tenda di sebelah Gedung Pertemuan</x:v>
      </x:c>
      <x:c r="D48" s="20" t="str">
        <x:v>Venue &amp; Event</x:v>
      </x:c>
      <x:c r="E48" s="20" t="str">
        <x:v>Siapkan mekanisme penandatanganan hasil</x:v>
      </x:c>
      <x:c r="F48" s="20" t="str">
        <x:v>Dokumen final, printer, penandatangan dan distribusi disiapkan.</x:v>
      </x:c>
      <x:c r="G48" s="20" t="str">
        <x:v>EO</x:v>
      </x:c>
      <x:c r="H48" s="20" t="str">
        <x:v>Tempat &amp; Acara</x:v>
      </x:c>
      <x:c r="I48" s="20" t="str">
        <x:v>Zulfajri Ery Syahputra</x:v>
      </x:c>
      <x:c r="J48" s="20" t="str">
        <x:v>High</x:v>
      </x:c>
      <x:c r="K48" s="30" t="n">
        <x:v>46230</x:v>
      </x:c>
      <x:c r="L48" s="30" t="n">
        <x:v>46242</x:v>
      </x:c>
      <x:c r="M48" s="20" t="str">
        <x:v>Belum Dimulai</x:v>
      </x:c>
      <x:c r="N48" s="31" t="n">
        <x:v>0</x:v>
      </x:c>
      <x:c r="O48" s="20" t="str">
        <x:f>IF(M48="Selesai &amp; Terverifikasi","Ready",IF(M48="Terkendala","Not Ready",IF(AND(J48="Critical",L48&lt;=TODAY()+3,N48&lt;100),"At Risk","In Progress")))</x:f>
        <x:v>In Progress</x:v>
      </x:c>
      <x:c r="P48" s="20" t="str"/>
      <x:c r="Q48" s="20" t="str"/>
      <x:c r="R48" s="20" t="str"/>
      <x:c r="S48" s="20" t="str">
        <x:v>Initial Setup</x:v>
      </x:c>
      <x:c r="T48" s="32" t="n">
        <x:v>46229.833333333336</x:v>
      </x:c>
      <x:c r="U48" s="20" t="str"/>
      <x:c r="V48" s="20" t="str">
        <x:v>Belum Diverifikasi</x:v>
      </x:c>
      <x:c r="W48" s="20" t="str"/>
      <x:c r="X48" s="20" t="str"/>
      <x:c r="Y48" s="20" t="str">
        <x:v>Ya</x:v>
      </x:c>
      <x:c r="Z48" s="20" t="str">
        <x:v>A/B/C/D</x:v>
      </x:c>
      <x:c r="AA48" s="33" t="n">
        <x:f>IF(L48="","",L48-TODAY())</x:f>
        <x:v>13</x:v>
      </x:c>
      <x:c r="AB48" s="20" t="str">
        <x:f>IF(AND(L48&lt;&gt;"",L48&lt;TODAY(),M48&lt;&gt;"Selesai &amp; Terverifikasi",M48&lt;&gt;"Tidak Berlaku"),"OVERDUE","")</x:f>
      </x:c>
      <x:c r="AC48" s="20" t="n">
        <x:f>IF(J48="Critical",4,IF(J48="High",3,IF(J48="Medium",2,1)))</x:f>
        <x:v>3</x:v>
      </x:c>
      <x:c r="AD48" s="20" t="n">
        <x:f>N48*AC48</x:f>
        <x:v>0</x:v>
      </x:c>
    </x:row>
    <x:row r="49">
      <x:c r="A49" s="20" t="str">
        <x:v>TSK-048</x:v>
      </x:c>
      <x:c r="B49" s="20" t="str">
        <x:v>EVT-RAKER</x:v>
      </x:c>
      <x:c r="C49" s="20" t="str">
        <x:v>Tenda di sebelah Gedung Pertemuan</x:v>
      </x:c>
      <x:c r="D49" s="20" t="str">
        <x:v>Venue &amp; Event</x:v>
      </x:c>
      <x:c r="E49" s="20" t="str">
        <x:v>Lakukan gladi acara Raker</x:v>
      </x:c>
      <x:c r="F49" s="20" t="str">
        <x:v>MC, moderator, AV, timekeeper dan perpindahan peserta diuji.</x:v>
      </x:c>
      <x:c r="G49" s="20" t="str">
        <x:v>EO</x:v>
      </x:c>
      <x:c r="H49" s="20" t="str">
        <x:v>Tempat &amp; Acara</x:v>
      </x:c>
      <x:c r="I49" s="20" t="str">
        <x:v>Zulfajri Ery Syahputra</x:v>
      </x:c>
      <x:c r="J49" s="20" t="str">
        <x:v>Critical</x:v>
      </x:c>
      <x:c r="K49" s="30" t="n">
        <x:v>46230</x:v>
      </x:c>
      <x:c r="L49" s="30" t="n">
        <x:v>46243</x:v>
      </x:c>
      <x:c r="M49" s="20" t="str">
        <x:v>Belum Dimulai</x:v>
      </x:c>
      <x:c r="N49" s="31" t="n">
        <x:v>0</x:v>
      </x:c>
      <x:c r="O49" s="20" t="str">
        <x:f>IF(M49="Selesai &amp; Terverifikasi","Ready",IF(M49="Terkendala","Not Ready",IF(AND(J49="Critical",L49&lt;=TODAY()+3,N49&lt;100),"At Risk","In Progress")))</x:f>
        <x:v>In Progress</x:v>
      </x:c>
      <x:c r="P49" s="20" t="str"/>
      <x:c r="Q49" s="20" t="str"/>
      <x:c r="R49" s="20" t="str"/>
      <x:c r="S49" s="20" t="str">
        <x:v>Initial Setup</x:v>
      </x:c>
      <x:c r="T49" s="32" t="n">
        <x:v>46229.833333333336</x:v>
      </x:c>
      <x:c r="U49" s="20" t="str"/>
      <x:c r="V49" s="20" t="str">
        <x:v>Belum Diverifikasi</x:v>
      </x:c>
      <x:c r="W49" s="20" t="str"/>
      <x:c r="X49" s="20" t="str"/>
      <x:c r="Y49" s="20" t="str">
        <x:v>Ya</x:v>
      </x:c>
      <x:c r="Z49" s="20" t="str">
        <x:v>A/B/C/D</x:v>
      </x:c>
      <x:c r="AA49" s="33" t="n">
        <x:f>IF(L49="","",L49-TODAY())</x:f>
        <x:v>14</x:v>
      </x:c>
      <x:c r="AB49" s="20" t="str">
        <x:f>IF(AND(L49&lt;&gt;"",L49&lt;TODAY(),M49&lt;&gt;"Selesai &amp; Terverifikasi",M49&lt;&gt;"Tidak Berlaku"),"OVERDUE","")</x:f>
      </x:c>
      <x:c r="AC49" s="20" t="n">
        <x:f>IF(J49="Critical",4,IF(J49="High",3,IF(J49="Medium",2,1)))</x:f>
        <x:v>4</x:v>
      </x:c>
      <x:c r="AD49" s="20" t="n">
        <x:f>N49*AC49</x:f>
        <x:v>0</x:v>
      </x:c>
    </x:row>
    <x:row r="50">
      <x:c r="A50" s="20" t="str">
        <x:v>TSK-049</x:v>
      </x:c>
      <x:c r="B50" s="20" t="str">
        <x:v>EVT-RAKER</x:v>
      </x:c>
      <x:c r="C50" s="20" t="str">
        <x:v>Tenda di sebelah Gedung Pertemuan</x:v>
      </x:c>
      <x:c r="D50" s="20" t="str">
        <x:v>Venue &amp; Event</x:v>
      </x:c>
      <x:c r="E50" s="20" t="str">
        <x:v>Final inspection dan handover tenda</x:v>
      </x:c>
      <x:c r="F50" s="20" t="str">
        <x:v>Punch list ditutup dan berita acara serah terima tersedia.</x:v>
      </x:c>
      <x:c r="G50" s="20" t="str">
        <x:v>EO</x:v>
      </x:c>
      <x:c r="H50" s="20" t="str">
        <x:v>Tempat &amp; Acara</x:v>
      </x:c>
      <x:c r="I50" s="20" t="str">
        <x:v>Zulfajri Ery Syahputra</x:v>
      </x:c>
      <x:c r="J50" s="20" t="str">
        <x:v>Critical</x:v>
      </x:c>
      <x:c r="K50" s="30" t="n">
        <x:v>46230</x:v>
      </x:c>
      <x:c r="L50" s="30" t="n">
        <x:v>46243</x:v>
      </x:c>
      <x:c r="M50" s="20" t="str">
        <x:v>Belum Dimulai</x:v>
      </x:c>
      <x:c r="N50" s="31" t="n">
        <x:v>0</x:v>
      </x:c>
      <x:c r="O50" s="20" t="str">
        <x:f>IF(M50="Selesai &amp; Terverifikasi","Ready",IF(M50="Terkendala","Not Ready",IF(AND(J50="Critical",L50&lt;=TODAY()+3,N50&lt;100),"At Risk","In Progress")))</x:f>
        <x:v>In Progress</x:v>
      </x:c>
      <x:c r="P50" s="20" t="str"/>
      <x:c r="Q50" s="20" t="str"/>
      <x:c r="R50" s="20" t="str"/>
      <x:c r="S50" s="20" t="str">
        <x:v>Initial Setup</x:v>
      </x:c>
      <x:c r="T50" s="32" t="n">
        <x:v>46229.833333333336</x:v>
      </x:c>
      <x:c r="U50" s="20" t="str"/>
      <x:c r="V50" s="20" t="str">
        <x:v>Belum Diverifikasi</x:v>
      </x:c>
      <x:c r="W50" s="20" t="str"/>
      <x:c r="X50" s="20" t="str"/>
      <x:c r="Y50" s="20" t="str">
        <x:v>Ya</x:v>
      </x:c>
      <x:c r="Z50" s="20" t="str">
        <x:v>A/B/C/D</x:v>
      </x:c>
      <x:c r="AA50" s="33" t="n">
        <x:f>IF(L50="","",L50-TODAY())</x:f>
        <x:v>14</x:v>
      </x:c>
      <x:c r="AB50" s="20" t="str">
        <x:f>IF(AND(L50&lt;&gt;"",L50&lt;TODAY(),M50&lt;&gt;"Selesai &amp; Terverifikasi",M50&lt;&gt;"Tidak Berlaku"),"OVERDUE","")</x:f>
      </x:c>
      <x:c r="AC50" s="20" t="n">
        <x:f>IF(J50="Critical",4,IF(J50="High",3,IF(J50="Medium",2,1)))</x:f>
        <x:v>4</x:v>
      </x:c>
      <x:c r="AD50" s="20" t="n">
        <x:f>N50*AC50</x:f>
        <x:v>0</x:v>
      </x:c>
    </x:row>
    <x:row r="51">
      <x:c r="A51" s="20" t="str">
        <x:v>TSK-050</x:v>
      </x:c>
      <x:c r="B51" s="20" t="str">
        <x:v>EVT-PLENARY</x:v>
      </x:c>
      <x:c r="C51" s="20" t="str">
        <x:v>Gedung Pertemuan</x:v>
      </x:c>
      <x:c r="D51" s="20" t="str">
        <x:v>Venue &amp; Event</x:v>
      </x:c>
      <x:c r="E51" s="20" t="str">
        <x:v>Konfirmasi layout Plenary 446 kursi</x:v>
      </x:c>
      <x:c r="F51" s="20" t="str">
        <x:v>Layout kursi VIP, Futura, coffee table, aisle dan stage disetujui.</x:v>
      </x:c>
      <x:c r="G51" s="20" t="str">
        <x:v>Shared</x:v>
      </x:c>
      <x:c r="H51" s="20" t="str">
        <x:v>Tempat &amp; Acara</x:v>
      </x:c>
      <x:c r="I51" s="20" t="str">
        <x:v>Zulfajri Ery Syahputra</x:v>
      </x:c>
      <x:c r="J51" s="20" t="str">
        <x:v>Critical</x:v>
      </x:c>
      <x:c r="K51" s="30" t="n">
        <x:v>46230</x:v>
      </x:c>
      <x:c r="L51" s="30" t="n">
        <x:v>46235</x:v>
      </x:c>
      <x:c r="M51" s="20" t="str">
        <x:v>Sedang Berjalan</x:v>
      </x:c>
      <x:c r="N51" s="31" t="n">
        <x:v>50</x:v>
      </x:c>
      <x:c r="O51" s="20" t="str">
        <x:f>IF(M51="Selesai &amp; Terverifikasi","Ready",IF(M51="Terkendala","Not Ready",IF(AND(J51="Critical",L51&lt;=TODAY()+3,N51&lt;100),"At Risk","In Progress")))</x:f>
        <x:v>In Progress</x:v>
      </x:c>
      <x:c r="P51" s="20" t="str">
        <x:v>EO telah survey; layout final belum diterima.</x:v>
      </x:c>
      <x:c r="Q51" s="20" t="str">
        <x:v>Minta layout final dan seating plan.</x:v>
      </x:c>
      <x:c r="R51" s="20" t="str"/>
      <x:c r="S51" s="20" t="str">
        <x:v>Initial Setup</x:v>
      </x:c>
      <x:c r="T51" s="32" t="n">
        <x:v>46229.833333333336</x:v>
      </x:c>
      <x:c r="U51" s="20" t="str"/>
      <x:c r="V51" s="20" t="str">
        <x:v>Belum Diverifikasi</x:v>
      </x:c>
      <x:c r="W51" s="20" t="str"/>
      <x:c r="X51" s="20" t="str"/>
      <x:c r="Y51" s="20" t="str">
        <x:v>Ya</x:v>
      </x:c>
      <x:c r="Z51" s="20" t="str">
        <x:v>A/B/C/D</x:v>
      </x:c>
      <x:c r="AA51" s="33" t="n">
        <x:f>IF(L51="","",L51-TODAY())</x:f>
        <x:v>6</x:v>
      </x:c>
      <x:c r="AB51" s="20" t="str">
        <x:f>IF(AND(L51&lt;&gt;"",L51&lt;TODAY(),M51&lt;&gt;"Selesai &amp; Terverifikasi",M51&lt;&gt;"Tidak Berlaku"),"OVERDUE","")</x:f>
      </x:c>
      <x:c r="AC51" s="20" t="n">
        <x:f>IF(J51="Critical",4,IF(J51="High",3,IF(J51="Medium",2,1)))</x:f>
        <x:v>4</x:v>
      </x:c>
      <x:c r="AD51" s="20" t="n">
        <x:f>N51*AC51</x:f>
        <x:v>200</x:v>
      </x:c>
    </x:row>
    <x:row r="52">
      <x:c r="A52" s="20" t="str">
        <x:v>TSK-051</x:v>
      </x:c>
      <x:c r="B52" s="20" t="str">
        <x:v>EVT-PLENARY</x:v>
      </x:c>
      <x:c r="C52" s="20" t="str">
        <x:v>Gedung Pertemuan</x:v>
      </x:c>
      <x:c r="D52" s="20" t="str">
        <x:v>Venue &amp; Event</x:v>
      </x:c>
      <x:c r="E52" s="20" t="str">
        <x:v>Finalisasi seating plan VIP dan undangan</x:v>
      </x:c>
      <x:c r="F52" s="20" t="str">
        <x:v>Nomor/area duduk dan jalur protokol sesuai daftar tamu.</x:v>
      </x:c>
      <x:c r="G52" s="20" t="str">
        <x:v>Shared</x:v>
      </x:c>
      <x:c r="H52" s="20" t="str">
        <x:v>Tempat &amp; Acara</x:v>
      </x:c>
      <x:c r="I52" s="20" t="str">
        <x:v>Zulfajri Ery Syahputra</x:v>
      </x:c>
      <x:c r="J52" s="20" t="str">
        <x:v>Critical</x:v>
      </x:c>
      <x:c r="K52" s="30" t="n">
        <x:v>46230</x:v>
      </x:c>
      <x:c r="L52" s="30" t="n">
        <x:v>46239</x:v>
      </x:c>
      <x:c r="M52" s="20" t="str">
        <x:v>Belum Dimulai</x:v>
      </x:c>
      <x:c r="N52" s="31" t="n">
        <x:v>0</x:v>
      </x:c>
      <x:c r="O52" s="20" t="str">
        <x:f>IF(M52="Selesai &amp; Terverifikasi","Ready",IF(M52="Terkendala","Not Ready",IF(AND(J52="Critical",L52&lt;=TODAY()+3,N52&lt;100),"At Risk","In Progress")))</x:f>
        <x:v>In Progress</x:v>
      </x:c>
      <x:c r="P52" s="20" t="str"/>
      <x:c r="Q52" s="20" t="str"/>
      <x:c r="R52" s="20" t="str"/>
      <x:c r="S52" s="20" t="str">
        <x:v>Initial Setup</x:v>
      </x:c>
      <x:c r="T52" s="32" t="n">
        <x:v>46229.833333333336</x:v>
      </x:c>
      <x:c r="U52" s="20" t="str"/>
      <x:c r="V52" s="20" t="str">
        <x:v>Belum Diverifikasi</x:v>
      </x:c>
      <x:c r="W52" s="20" t="str"/>
      <x:c r="X52" s="20" t="str"/>
      <x:c r="Y52" s="20" t="str">
        <x:v>Ya</x:v>
      </x:c>
      <x:c r="Z52" s="20" t="str">
        <x:v>A/B/C/D</x:v>
      </x:c>
      <x:c r="AA52" s="33" t="n">
        <x:f>IF(L52="","",L52-TODAY())</x:f>
        <x:v>10</x:v>
      </x:c>
      <x:c r="AB52" s="20" t="str">
        <x:f>IF(AND(L52&lt;&gt;"",L52&lt;TODAY(),M52&lt;&gt;"Selesai &amp; Terverifikasi",M52&lt;&gt;"Tidak Berlaku"),"OVERDUE","")</x:f>
      </x:c>
      <x:c r="AC52" s="20" t="n">
        <x:f>IF(J52="Critical",4,IF(J52="High",3,IF(J52="Medium",2,1)))</x:f>
        <x:v>4</x:v>
      </x:c>
      <x:c r="AD52" s="20" t="n">
        <x:f>N52*AC52</x:f>
        <x:v>0</x:v>
      </x:c>
    </x:row>
    <x:row r="53">
      <x:c r="A53" s="20" t="str">
        <x:v>TSK-052</x:v>
      </x:c>
      <x:c r="B53" s="20" t="str">
        <x:v>EVT-PLENARY</x:v>
      </x:c>
      <x:c r="C53" s="20" t="str">
        <x:v>Gedung Pertemuan</x:v>
      </x:c>
      <x:c r="D53" s="20" t="str">
        <x:v>Venue &amp; Event</x:v>
      </x:c>
      <x:c r="E53" s="20" t="str">
        <x:v>Siapkan stage, backdrop dan branding</x:v>
      </x:c>
      <x:c r="F53" s="20" t="str">
        <x:v>Visual, ukuran, akses dan pencahayaan disetujui.</x:v>
      </x:c>
      <x:c r="G53" s="20" t="str">
        <x:v>Shared</x:v>
      </x:c>
      <x:c r="H53" s="20" t="str">
        <x:v>Tempat &amp; Acara</x:v>
      </x:c>
      <x:c r="I53" s="20" t="str">
        <x:v>Zulfajri Ery Syahputra</x:v>
      </x:c>
      <x:c r="J53" s="20" t="str">
        <x:v>High</x:v>
      </x:c>
      <x:c r="K53" s="30" t="n">
        <x:v>46230</x:v>
      </x:c>
      <x:c r="L53" s="30" t="n">
        <x:v>46241</x:v>
      </x:c>
      <x:c r="M53" s="20" t="str">
        <x:v>Belum Dimulai</x:v>
      </x:c>
      <x:c r="N53" s="31" t="n">
        <x:v>0</x:v>
      </x:c>
      <x:c r="O53" s="20" t="str">
        <x:f>IF(M53="Selesai &amp; Terverifikasi","Ready",IF(M53="Terkendala","Not Ready",IF(AND(J53="Critical",L53&lt;=TODAY()+3,N53&lt;100),"At Risk","In Progress")))</x:f>
        <x:v>In Progress</x:v>
      </x:c>
      <x:c r="P53" s="20" t="str"/>
      <x:c r="Q53" s="20" t="str"/>
      <x:c r="R53" s="20" t="str"/>
      <x:c r="S53" s="20" t="str">
        <x:v>Initial Setup</x:v>
      </x:c>
      <x:c r="T53" s="32" t="n">
        <x:v>46229.833333333336</x:v>
      </x:c>
      <x:c r="U53" s="20" t="str"/>
      <x:c r="V53" s="20" t="str">
        <x:v>Belum Diverifikasi</x:v>
      </x:c>
      <x:c r="W53" s="20" t="str"/>
      <x:c r="X53" s="20" t="str"/>
      <x:c r="Y53" s="20" t="str">
        <x:v>Ya</x:v>
      </x:c>
      <x:c r="Z53" s="20" t="str">
        <x:v>A/B/C/D</x:v>
      </x:c>
      <x:c r="AA53" s="33" t="n">
        <x:f>IF(L53="","",L53-TODAY())</x:f>
        <x:v>12</x:v>
      </x:c>
      <x:c r="AB53" s="20" t="str">
        <x:f>IF(AND(L53&lt;&gt;"",L53&lt;TODAY(),M53&lt;&gt;"Selesai &amp; Terverifikasi",M53&lt;&gt;"Tidak Berlaku"),"OVERDUE","")</x:f>
      </x:c>
      <x:c r="AC53" s="20" t="n">
        <x:f>IF(J53="Critical",4,IF(J53="High",3,IF(J53="Medium",2,1)))</x:f>
        <x:v>3</x:v>
      </x:c>
      <x:c r="AD53" s="20" t="n">
        <x:f>N53*AC53</x:f>
        <x:v>0</x:v>
      </x:c>
    </x:row>
    <x:row r="54">
      <x:c r="A54" s="20" t="str">
        <x:v>TSK-053</x:v>
      </x:c>
      <x:c r="B54" s="20" t="str">
        <x:v>EVT-PLENARY</x:v>
      </x:c>
      <x:c r="C54" s="20" t="str">
        <x:v>Gedung Pertemuan</x:v>
      </x:c>
      <x:c r="D54" s="20" t="str">
        <x:v>Venue &amp; Event</x:v>
      </x:c>
      <x:c r="E54" s="20" t="str">
        <x:v>Siapkan LED, audio dan mikrofon</x:v>
      </x:c>
      <x:c r="F54" s="20" t="str">
        <x:v>Audio visual teruji untuk pembicara dan seluruh peserta.</x:v>
      </x:c>
      <x:c r="G54" s="20" t="str">
        <x:v>Shared</x:v>
      </x:c>
      <x:c r="H54" s="20" t="str">
        <x:v>Tempat &amp; Acara</x:v>
      </x:c>
      <x:c r="I54" s="20" t="str">
        <x:v>Zulfajri Ery Syahputra</x:v>
      </x:c>
      <x:c r="J54" s="20" t="str">
        <x:v>Critical</x:v>
      </x:c>
      <x:c r="K54" s="30" t="n">
        <x:v>46230</x:v>
      </x:c>
      <x:c r="L54" s="30" t="n">
        <x:v>46242</x:v>
      </x:c>
      <x:c r="M54" s="20" t="str">
        <x:v>Belum Dimulai</x:v>
      </x:c>
      <x:c r="N54" s="31" t="n">
        <x:v>0</x:v>
      </x:c>
      <x:c r="O54" s="20" t="str">
        <x:f>IF(M54="Selesai &amp; Terverifikasi","Ready",IF(M54="Terkendala","Not Ready",IF(AND(J54="Critical",L54&lt;=TODAY()+3,N54&lt;100),"At Risk","In Progress")))</x:f>
        <x:v>In Progress</x:v>
      </x:c>
      <x:c r="P54" s="20" t="str"/>
      <x:c r="Q54" s="20" t="str"/>
      <x:c r="R54" s="20" t="str"/>
      <x:c r="S54" s="20" t="str">
        <x:v>Initial Setup</x:v>
      </x:c>
      <x:c r="T54" s="32" t="n">
        <x:v>46229.833333333336</x:v>
      </x:c>
      <x:c r="U54" s="20" t="str"/>
      <x:c r="V54" s="20" t="str">
        <x:v>Belum Diverifikasi</x:v>
      </x:c>
      <x:c r="W54" s="20" t="str"/>
      <x:c r="X54" s="20" t="str"/>
      <x:c r="Y54" s="20" t="str">
        <x:v>Ya</x:v>
      </x:c>
      <x:c r="Z54" s="20" t="str">
        <x:v>A/B/C/D</x:v>
      </x:c>
      <x:c r="AA54" s="33" t="n">
        <x:f>IF(L54="","",L54-TODAY())</x:f>
        <x:v>13</x:v>
      </x:c>
      <x:c r="AB54" s="20" t="str">
        <x:f>IF(AND(L54&lt;&gt;"",L54&lt;TODAY(),M54&lt;&gt;"Selesai &amp; Terverifikasi",M54&lt;&gt;"Tidak Berlaku"),"OVERDUE","")</x:f>
      </x:c>
      <x:c r="AC54" s="20" t="n">
        <x:f>IF(J54="Critical",4,IF(J54="High",3,IF(J54="Medium",2,1)))</x:f>
        <x:v>4</x:v>
      </x:c>
      <x:c r="AD54" s="20" t="n">
        <x:f>N54*AC54</x:f>
        <x:v>0</x:v>
      </x:c>
    </x:row>
    <x:row r="55">
      <x:c r="A55" s="20" t="str">
        <x:v>TSK-054</x:v>
      </x:c>
      <x:c r="B55" s="20" t="str">
        <x:v>EVT-PLENARY</x:v>
      </x:c>
      <x:c r="C55" s="20" t="str">
        <x:v>Gedung Pertemuan</x:v>
      </x:c>
      <x:c r="D55" s="20" t="str">
        <x:v>Venue &amp; Event</x:v>
      </x:c>
      <x:c r="E55" s="20" t="str">
        <x:v>Kumpulkan materi seluruh pembicara</x:v>
      </x:c>
      <x:c r="F55" s="20" t="str">
        <x:v>File final, rasio layar dan backup tersedia.</x:v>
      </x:c>
      <x:c r="G55" s="20" t="str">
        <x:v>Shared</x:v>
      </x:c>
      <x:c r="H55" s="20" t="str">
        <x:v>Tempat &amp; Acara</x:v>
      </x:c>
      <x:c r="I55" s="20" t="str">
        <x:v>Zulfajri Ery Syahputra</x:v>
      </x:c>
      <x:c r="J55" s="20" t="str">
        <x:v>Critical</x:v>
      </x:c>
      <x:c r="K55" s="30" t="n">
        <x:v>46230</x:v>
      </x:c>
      <x:c r="L55" s="30" t="n">
        <x:v>46241</x:v>
      </x:c>
      <x:c r="M55" s="20" t="str">
        <x:v>Belum Dimulai</x:v>
      </x:c>
      <x:c r="N55" s="31" t="n">
        <x:v>0</x:v>
      </x:c>
      <x:c r="O55" s="20" t="str">
        <x:f>IF(M55="Selesai &amp; Terverifikasi","Ready",IF(M55="Terkendala","Not Ready",IF(AND(J55="Critical",L55&lt;=TODAY()+3,N55&lt;100),"At Risk","In Progress")))</x:f>
        <x:v>In Progress</x:v>
      </x:c>
      <x:c r="P55" s="20" t="str"/>
      <x:c r="Q55" s="20" t="str"/>
      <x:c r="R55" s="20" t="str"/>
      <x:c r="S55" s="20" t="str">
        <x:v>Initial Setup</x:v>
      </x:c>
      <x:c r="T55" s="32" t="n">
        <x:v>46229.833333333336</x:v>
      </x:c>
      <x:c r="U55" s="20" t="str"/>
      <x:c r="V55" s="20" t="str">
        <x:v>Belum Diverifikasi</x:v>
      </x:c>
      <x:c r="W55" s="20" t="str"/>
      <x:c r="X55" s="20" t="str"/>
      <x:c r="Y55" s="20" t="str">
        <x:v>Ya</x:v>
      </x:c>
      <x:c r="Z55" s="20" t="str">
        <x:v>A/B/C/D</x:v>
      </x:c>
      <x:c r="AA55" s="33" t="n">
        <x:f>IF(L55="","",L55-TODAY())</x:f>
        <x:v>12</x:v>
      </x:c>
      <x:c r="AB55" s="20" t="str">
        <x:f>IF(AND(L55&lt;&gt;"",L55&lt;TODAY(),M55&lt;&gt;"Selesai &amp; Terverifikasi",M55&lt;&gt;"Tidak Berlaku"),"OVERDUE","")</x:f>
      </x:c>
      <x:c r="AC55" s="20" t="n">
        <x:f>IF(J55="Critical",4,IF(J55="High",3,IF(J55="Medium",2,1)))</x:f>
        <x:v>4</x:v>
      </x:c>
      <x:c r="AD55" s="20" t="n">
        <x:f>N55*AC55</x:f>
        <x:v>0</x:v>
      </x:c>
    </x:row>
    <x:row r="56">
      <x:c r="A56" s="20" t="str">
        <x:v>TSK-055</x:v>
      </x:c>
      <x:c r="B56" s="20" t="str">
        <x:v>EVT-PLENARY</x:v>
      </x:c>
      <x:c r="C56" s="20" t="str">
        <x:v>Gedung Pertemuan</x:v>
      </x:c>
      <x:c r="D56" s="20" t="str">
        <x:v>Venue &amp; Event</x:v>
      </x:c>
      <x:c r="E56" s="20" t="str">
        <x:v>Konfirmasi pembicara dan pendamping</x:v>
      </x:c>
      <x:c r="F56" s="20" t="str">
        <x:v>Kehadiran, kebutuhan khusus dan jadwal pembicara tervalidasi.</x:v>
      </x:c>
      <x:c r="G56" s="20" t="str">
        <x:v>Shared</x:v>
      </x:c>
      <x:c r="H56" s="20" t="str">
        <x:v>Tempat &amp; Acara</x:v>
      </x:c>
      <x:c r="I56" s="20" t="str">
        <x:v>Zulfajri Ery Syahputra</x:v>
      </x:c>
      <x:c r="J56" s="20" t="str">
        <x:v>Critical</x:v>
      </x:c>
      <x:c r="K56" s="30" t="n">
        <x:v>46230</x:v>
      </x:c>
      <x:c r="L56" s="30" t="n">
        <x:v>46238</x:v>
      </x:c>
      <x:c r="M56" s="20" t="str">
        <x:v>Belum Dimulai</x:v>
      </x:c>
      <x:c r="N56" s="31" t="n">
        <x:v>0</x:v>
      </x:c>
      <x:c r="O56" s="20" t="str">
        <x:f>IF(M56="Selesai &amp; Terverifikasi","Ready",IF(M56="Terkendala","Not Ready",IF(AND(J56="Critical",L56&lt;=TODAY()+3,N56&lt;100),"At Risk","In Progress")))</x:f>
        <x:v>In Progress</x:v>
      </x:c>
      <x:c r="P56" s="20" t="str"/>
      <x:c r="Q56" s="20" t="str"/>
      <x:c r="R56" s="20" t="str"/>
      <x:c r="S56" s="20" t="str">
        <x:v>Initial Setup</x:v>
      </x:c>
      <x:c r="T56" s="32" t="n">
        <x:v>46229.833333333336</x:v>
      </x:c>
      <x:c r="U56" s="20" t="str"/>
      <x:c r="V56" s="20" t="str">
        <x:v>Belum Diverifikasi</x:v>
      </x:c>
      <x:c r="W56" s="20" t="str"/>
      <x:c r="X56" s="20" t="str"/>
      <x:c r="Y56" s="20" t="str">
        <x:v>Ya</x:v>
      </x:c>
      <x:c r="Z56" s="20" t="str">
        <x:v>A/B/C/D</x:v>
      </x:c>
      <x:c r="AA56" s="33" t="n">
        <x:f>IF(L56="","",L56-TODAY())</x:f>
        <x:v>9</x:v>
      </x:c>
      <x:c r="AB56" s="20" t="str">
        <x:f>IF(AND(L56&lt;&gt;"",L56&lt;TODAY(),M56&lt;&gt;"Selesai &amp; Terverifikasi",M56&lt;&gt;"Tidak Berlaku"),"OVERDUE","")</x:f>
      </x:c>
      <x:c r="AC56" s="20" t="n">
        <x:f>IF(J56="Critical",4,IF(J56="High",3,IF(J56="Medium",2,1)))</x:f>
        <x:v>4</x:v>
      </x:c>
      <x:c r="AD56" s="20" t="n">
        <x:f>N56*AC56</x:f>
        <x:v>0</x:v>
      </x:c>
    </x:row>
    <x:row r="57">
      <x:c r="A57" s="20" t="str">
        <x:v>TSK-056</x:v>
      </x:c>
      <x:c r="B57" s="20" t="str">
        <x:v>EVT-PLENARY</x:v>
      </x:c>
      <x:c r="C57" s="20" t="str">
        <x:v>Gedung Pertemuan</x:v>
      </x:c>
      <x:c r="D57" s="20" t="str">
        <x:v>Venue &amp; Event</x:v>
      </x:c>
      <x:c r="E57" s="20" t="str">
        <x:v>Finalisasi MC script dan safety briefing</x:v>
      </x:c>
      <x:c r="F57" s="20" t="str">
        <x:v>Script disetujui dan durasi sesuai rundown.</x:v>
      </x:c>
      <x:c r="G57" s="20" t="str">
        <x:v>Shared</x:v>
      </x:c>
      <x:c r="H57" s="20" t="str">
        <x:v>Tempat &amp; Acara</x:v>
      </x:c>
      <x:c r="I57" s="20" t="str">
        <x:v>Zulfajri Ery Syahputra</x:v>
      </x:c>
      <x:c r="J57" s="20" t="str">
        <x:v>High</x:v>
      </x:c>
      <x:c r="K57" s="30" t="n">
        <x:v>46230</x:v>
      </x:c>
      <x:c r="L57" s="30" t="n">
        <x:v>46241</x:v>
      </x:c>
      <x:c r="M57" s="20" t="str">
        <x:v>Belum Dimulai</x:v>
      </x:c>
      <x:c r="N57" s="31" t="n">
        <x:v>0</x:v>
      </x:c>
      <x:c r="O57" s="20" t="str">
        <x:f>IF(M57="Selesai &amp; Terverifikasi","Ready",IF(M57="Terkendala","Not Ready",IF(AND(J57="Critical",L57&lt;=TODAY()+3,N57&lt;100),"At Risk","In Progress")))</x:f>
        <x:v>In Progress</x:v>
      </x:c>
      <x:c r="P57" s="20" t="str"/>
      <x:c r="Q57" s="20" t="str"/>
      <x:c r="R57" s="20" t="str"/>
      <x:c r="S57" s="20" t="str">
        <x:v>Initial Setup</x:v>
      </x:c>
      <x:c r="T57" s="32" t="n">
        <x:v>46229.833333333336</x:v>
      </x:c>
      <x:c r="U57" s="20" t="str"/>
      <x:c r="V57" s="20" t="str">
        <x:v>Belum Diverifikasi</x:v>
      </x:c>
      <x:c r="W57" s="20" t="str"/>
      <x:c r="X57" s="20" t="str"/>
      <x:c r="Y57" s="20" t="str">
        <x:v>Ya</x:v>
      </x:c>
      <x:c r="Z57" s="20" t="str">
        <x:v>A/B/C/D</x:v>
      </x:c>
      <x:c r="AA57" s="33" t="n">
        <x:f>IF(L57="","",L57-TODAY())</x:f>
        <x:v>12</x:v>
      </x:c>
      <x:c r="AB57" s="20" t="str">
        <x:f>IF(AND(L57&lt;&gt;"",L57&lt;TODAY(),M57&lt;&gt;"Selesai &amp; Terverifikasi",M57&lt;&gt;"Tidak Berlaku"),"OVERDUE","")</x:f>
      </x:c>
      <x:c r="AC57" s="20" t="n">
        <x:f>IF(J57="Critical",4,IF(J57="High",3,IF(J57="Medium",2,1)))</x:f>
        <x:v>3</x:v>
      </x:c>
      <x:c r="AD57" s="20" t="n">
        <x:f>N57*AC57</x:f>
        <x:v>0</x:v>
      </x:c>
    </x:row>
    <x:row r="58">
      <x:c r="A58" s="20" t="str">
        <x:v>TSK-057</x:v>
      </x:c>
      <x:c r="B58" s="20" t="str">
        <x:v>EVT-PLENARY</x:v>
      </x:c>
      <x:c r="C58" s="20" t="str">
        <x:v>Gedung Pertemuan</x:v>
      </x:c>
      <x:c r="D58" s="20" t="str">
        <x:v>Venue &amp; Event</x:v>
      </x:c>
      <x:c r="E58" s="20" t="str">
        <x:v>Siapkan audio Indonesia Raya dan Mars PI</x:v>
      </x:c>
      <x:c r="F58" s="20" t="str">
        <x:v>File audio diuji dan operator ditetapkan.</x:v>
      </x:c>
      <x:c r="G58" s="20" t="str">
        <x:v>Shared</x:v>
      </x:c>
      <x:c r="H58" s="20" t="str">
        <x:v>Tempat &amp; Acara</x:v>
      </x:c>
      <x:c r="I58" s="20" t="str">
        <x:v>Zulfajri Ery Syahputra</x:v>
      </x:c>
      <x:c r="J58" s="20" t="str">
        <x:v>High</x:v>
      </x:c>
      <x:c r="K58" s="30" t="n">
        <x:v>46230</x:v>
      </x:c>
      <x:c r="L58" s="30" t="n">
        <x:v>46242</x:v>
      </x:c>
      <x:c r="M58" s="20" t="str">
        <x:v>Belum Dimulai</x:v>
      </x:c>
      <x:c r="N58" s="31" t="n">
        <x:v>0</x:v>
      </x:c>
      <x:c r="O58" s="20" t="str">
        <x:f>IF(M58="Selesai &amp; Terverifikasi","Ready",IF(M58="Terkendala","Not Ready",IF(AND(J58="Critical",L58&lt;=TODAY()+3,N58&lt;100),"At Risk","In Progress")))</x:f>
        <x:v>In Progress</x:v>
      </x:c>
      <x:c r="P58" s="20" t="str"/>
      <x:c r="Q58" s="20" t="str"/>
      <x:c r="R58" s="20" t="str"/>
      <x:c r="S58" s="20" t="str">
        <x:v>Initial Setup</x:v>
      </x:c>
      <x:c r="T58" s="32" t="n">
        <x:v>46229.833333333336</x:v>
      </x:c>
      <x:c r="U58" s="20" t="str"/>
      <x:c r="V58" s="20" t="str">
        <x:v>Belum Diverifikasi</x:v>
      </x:c>
      <x:c r="W58" s="20" t="str"/>
      <x:c r="X58" s="20" t="str"/>
      <x:c r="Y58" s="20" t="str">
        <x:v>Ya</x:v>
      </x:c>
      <x:c r="Z58" s="20" t="str">
        <x:v>A/B/C/D</x:v>
      </x:c>
      <x:c r="AA58" s="33" t="n">
        <x:f>IF(L58="","",L58-TODAY())</x:f>
        <x:v>13</x:v>
      </x:c>
      <x:c r="AB58" s="20" t="str">
        <x:f>IF(AND(L58&lt;&gt;"",L58&lt;TODAY(),M58&lt;&gt;"Selesai &amp; Terverifikasi",M58&lt;&gt;"Tidak Berlaku"),"OVERDUE","")</x:f>
      </x:c>
      <x:c r="AC58" s="20" t="n">
        <x:f>IF(J58="Critical",4,IF(J58="High",3,IF(J58="Medium",2,1)))</x:f>
        <x:v>3</x:v>
      </x:c>
      <x:c r="AD58" s="20" t="n">
        <x:f>N58*AC58</x:f>
        <x:v>0</x:v>
      </x:c>
    </x:row>
    <x:row r="59">
      <x:c r="A59" s="20" t="str">
        <x:v>TSK-058</x:v>
      </x:c>
      <x:c r="B59" s="20" t="str">
        <x:v>EVT-PLENARY</x:v>
      </x:c>
      <x:c r="C59" s="20" t="str">
        <x:v>Gedung Pertemuan</x:v>
      </x:c>
      <x:c r="D59" s="20" t="str">
        <x:v>Venue &amp; Event</x:v>
      </x:c>
      <x:c r="E59" s="20" t="str">
        <x:v>Siapkan plakat dan sesi foto</x:v>
      </x:c>
      <x:c r="F59" s="20" t="str">
        <x:v>Plakat, urutan penyerahan dan posisi foto siap.</x:v>
      </x:c>
      <x:c r="G59" s="20" t="str">
        <x:v>Shared</x:v>
      </x:c>
      <x:c r="H59" s="20" t="str">
        <x:v>Tempat &amp; Acara</x:v>
      </x:c>
      <x:c r="I59" s="20" t="str">
        <x:v>Zulfajri Ery Syahputra</x:v>
      </x:c>
      <x:c r="J59" s="20" t="str">
        <x:v>High</x:v>
      </x:c>
      <x:c r="K59" s="30" t="n">
        <x:v>46230</x:v>
      </x:c>
      <x:c r="L59" s="30" t="n">
        <x:v>46242</x:v>
      </x:c>
      <x:c r="M59" s="20" t="str">
        <x:v>Belum Dimulai</x:v>
      </x:c>
      <x:c r="N59" s="31" t="n">
        <x:v>0</x:v>
      </x:c>
      <x:c r="O59" s="20" t="str">
        <x:f>IF(M59="Selesai &amp; Terverifikasi","Ready",IF(M59="Terkendala","Not Ready",IF(AND(J59="Critical",L59&lt;=TODAY()+3,N59&lt;100),"At Risk","In Progress")))</x:f>
        <x:v>In Progress</x:v>
      </x:c>
      <x:c r="P59" s="20" t="str"/>
      <x:c r="Q59" s="20" t="str"/>
      <x:c r="R59" s="20" t="str"/>
      <x:c r="S59" s="20" t="str">
        <x:v>Initial Setup</x:v>
      </x:c>
      <x:c r="T59" s="32" t="n">
        <x:v>46229.833333333336</x:v>
      </x:c>
      <x:c r="U59" s="20" t="str"/>
      <x:c r="V59" s="20" t="str">
        <x:v>Belum Diverifikasi</x:v>
      </x:c>
      <x:c r="W59" s="20" t="str"/>
      <x:c r="X59" s="20" t="str"/>
      <x:c r="Y59" s="20" t="str">
        <x:v>Ya</x:v>
      </x:c>
      <x:c r="Z59" s="20" t="str">
        <x:v>A/B/C/D</x:v>
      </x:c>
      <x:c r="AA59" s="33" t="n">
        <x:f>IF(L59="","",L59-TODAY())</x:f>
        <x:v>13</x:v>
      </x:c>
      <x:c r="AB59" s="20" t="str">
        <x:f>IF(AND(L59&lt;&gt;"",L59&lt;TODAY(),M59&lt;&gt;"Selesai &amp; Terverifikasi",M59&lt;&gt;"Tidak Berlaku"),"OVERDUE","")</x:f>
      </x:c>
      <x:c r="AC59" s="20" t="n">
        <x:f>IF(J59="Critical",4,IF(J59="High",3,IF(J59="Medium",2,1)))</x:f>
        <x:v>3</x:v>
      </x:c>
      <x:c r="AD59" s="20" t="n">
        <x:f>N59*AC59</x:f>
        <x:v>0</x:v>
      </x:c>
    </x:row>
    <x:row r="60">
      <x:c r="A60" s="20" t="str">
        <x:v>TSK-059</x:v>
      </x:c>
      <x:c r="B60" s="20" t="str">
        <x:v>EVT-PLENARY</x:v>
      </x:c>
      <x:c r="C60" s="20" t="str">
        <x:v>Gedung Pertemuan</x:v>
      </x:c>
      <x:c r="D60" s="20" t="str">
        <x:v>Venue &amp; Event</x:v>
      </x:c>
      <x:c r="E60" s="20" t="str">
        <x:v>Siapkan meja registrasi dan daftar hadir</x:v>
      </x:c>
      <x:c r="F60" s="20" t="str">
        <x:v>Meja, QR/manual attendance dan petugas siap.</x:v>
      </x:c>
      <x:c r="G60" s="20" t="str">
        <x:v>Shared</x:v>
      </x:c>
      <x:c r="H60" s="20" t="str">
        <x:v>Tempat &amp; Acara</x:v>
      </x:c>
      <x:c r="I60" s="20" t="str">
        <x:v>Zulfajri Ery Syahputra</x:v>
      </x:c>
      <x:c r="J60" s="20" t="str">
        <x:v>High</x:v>
      </x:c>
      <x:c r="K60" s="30" t="n">
        <x:v>46230</x:v>
      </x:c>
      <x:c r="L60" s="30" t="n">
        <x:v>46242</x:v>
      </x:c>
      <x:c r="M60" s="20" t="str">
        <x:v>Belum Dimulai</x:v>
      </x:c>
      <x:c r="N60" s="31" t="n">
        <x:v>0</x:v>
      </x:c>
      <x:c r="O60" s="20" t="str">
        <x:f>IF(M60="Selesai &amp; Terverifikasi","Ready",IF(M60="Terkendala","Not Ready",IF(AND(J60="Critical",L60&lt;=TODAY()+3,N60&lt;100),"At Risk","In Progress")))</x:f>
        <x:v>In Progress</x:v>
      </x:c>
      <x:c r="P60" s="20" t="str"/>
      <x:c r="Q60" s="20" t="str"/>
      <x:c r="R60" s="20" t="str"/>
      <x:c r="S60" s="20" t="str">
        <x:v>Initial Setup</x:v>
      </x:c>
      <x:c r="T60" s="32" t="n">
        <x:v>46229.833333333336</x:v>
      </x:c>
      <x:c r="U60" s="20" t="str"/>
      <x:c r="V60" s="20" t="str">
        <x:v>Belum Diverifikasi</x:v>
      </x:c>
      <x:c r="W60" s="20" t="str"/>
      <x:c r="X60" s="20" t="str"/>
      <x:c r="Y60" s="20" t="str">
        <x:v>Ya</x:v>
      </x:c>
      <x:c r="Z60" s="20" t="str">
        <x:v>A/B/C/D</x:v>
      </x:c>
      <x:c r="AA60" s="33" t="n">
        <x:f>IF(L60="","",L60-TODAY())</x:f>
        <x:v>13</x:v>
      </x:c>
      <x:c r="AB60" s="20" t="str">
        <x:f>IF(AND(L60&lt;&gt;"",L60&lt;TODAY(),M60&lt;&gt;"Selesai &amp; Terverifikasi",M60&lt;&gt;"Tidak Berlaku"),"OVERDUE","")</x:f>
      </x:c>
      <x:c r="AC60" s="20" t="n">
        <x:f>IF(J60="Critical",4,IF(J60="High",3,IF(J60="Medium",2,1)))</x:f>
        <x:v>3</x:v>
      </x:c>
      <x:c r="AD60" s="20" t="n">
        <x:f>N60*AC60</x:f>
        <x:v>0</x:v>
      </x:c>
    </x:row>
    <x:row r="61">
      <x:c r="A61" s="20" t="str">
        <x:v>TSK-060</x:v>
      </x:c>
      <x:c r="B61" s="20" t="str">
        <x:v>EVT-PLENARY</x:v>
      </x:c>
      <x:c r="C61" s="20" t="str">
        <x:v>Gedung Pertemuan</x:v>
      </x:c>
      <x:c r="D61" s="20" t="str">
        <x:v>Venue &amp; Event</x:v>
      </x:c>
      <x:c r="E61" s="20" t="str">
        <x:v>Siapkan akses protokol pembicara</x:v>
      </x:c>
      <x:c r="F61" s="20" t="str">
        <x:v>Holding room, jalur masuk/keluar dan pengawalan tersedia.</x:v>
      </x:c>
      <x:c r="G61" s="20" t="str">
        <x:v>Shared</x:v>
      </x:c>
      <x:c r="H61" s="20" t="str">
        <x:v>Tempat &amp; Acara</x:v>
      </x:c>
      <x:c r="I61" s="20" t="str">
        <x:v>Zulfajri Ery Syahputra</x:v>
      </x:c>
      <x:c r="J61" s="20" t="str">
        <x:v>Critical</x:v>
      </x:c>
      <x:c r="K61" s="30" t="n">
        <x:v>46230</x:v>
      </x:c>
      <x:c r="L61" s="30" t="n">
        <x:v>46242</x:v>
      </x:c>
      <x:c r="M61" s="20" t="str">
        <x:v>Belum Dimulai</x:v>
      </x:c>
      <x:c r="N61" s="31" t="n">
        <x:v>0</x:v>
      </x:c>
      <x:c r="O61" s="20" t="str">
        <x:f>IF(M61="Selesai &amp; Terverifikasi","Ready",IF(M61="Terkendala","Not Ready",IF(AND(J61="Critical",L61&lt;=TODAY()+3,N61&lt;100),"At Risk","In Progress")))</x:f>
        <x:v>In Progress</x:v>
      </x:c>
      <x:c r="P61" s="20" t="str"/>
      <x:c r="Q61" s="20" t="str"/>
      <x:c r="R61" s="20" t="str"/>
      <x:c r="S61" s="20" t="str">
        <x:v>Initial Setup</x:v>
      </x:c>
      <x:c r="T61" s="32" t="n">
        <x:v>46229.833333333336</x:v>
      </x:c>
      <x:c r="U61" s="20" t="str"/>
      <x:c r="V61" s="20" t="str">
        <x:v>Belum Diverifikasi</x:v>
      </x:c>
      <x:c r="W61" s="20" t="str"/>
      <x:c r="X61" s="20" t="str"/>
      <x:c r="Y61" s="20" t="str">
        <x:v>Ya</x:v>
      </x:c>
      <x:c r="Z61" s="20" t="str">
        <x:v>A/B/C/D</x:v>
      </x:c>
      <x:c r="AA61" s="33" t="n">
        <x:f>IF(L61="","",L61-TODAY())</x:f>
        <x:v>13</x:v>
      </x:c>
      <x:c r="AB61" s="20" t="str">
        <x:f>IF(AND(L61&lt;&gt;"",L61&lt;TODAY(),M61&lt;&gt;"Selesai &amp; Terverifikasi",M61&lt;&gt;"Tidak Berlaku"),"OVERDUE","")</x:f>
      </x:c>
      <x:c r="AC61" s="20" t="n">
        <x:f>IF(J61="Critical",4,IF(J61="High",3,IF(J61="Medium",2,1)))</x:f>
        <x:v>4</x:v>
      </x:c>
      <x:c r="AD61" s="20" t="n">
        <x:f>N61*AC61</x:f>
        <x:v>0</x:v>
      </x:c>
    </x:row>
    <x:row r="62">
      <x:c r="A62" s="20" t="str">
        <x:v>TSK-061</x:v>
      </x:c>
      <x:c r="B62" s="20" t="str">
        <x:v>EVT-PLENARY</x:v>
      </x:c>
      <x:c r="C62" s="20" t="str">
        <x:v>Gedung Pertemuan</x:v>
      </x:c>
      <x:c r="D62" s="20" t="str">
        <x:v>Venue &amp; Event</x:v>
      </x:c>
      <x:c r="E62" s="20" t="str">
        <x:v>Susun rencana konversi Plenary ke Badminton</x:v>
      </x:c>
      <x:c r="F62" s="20" t="str">
        <x:v>Manpower, urutan bongkar, penyimpanan dan waktu 6 jam divalidasi.</x:v>
      </x:c>
      <x:c r="G62" s="20" t="str">
        <x:v>Shared</x:v>
      </x:c>
      <x:c r="H62" s="20" t="str">
        <x:v>Tempat &amp; Acara</x:v>
      </x:c>
      <x:c r="I62" s="20" t="str">
        <x:v>Zulfajri Ery Syahputra</x:v>
      </x:c>
      <x:c r="J62" s="20" t="str">
        <x:v>Critical</x:v>
      </x:c>
      <x:c r="K62" s="30" t="n">
        <x:v>46230</x:v>
      </x:c>
      <x:c r="L62" s="30" t="n">
        <x:v>46237</x:v>
      </x:c>
      <x:c r="M62" s="20" t="str">
        <x:v>Belum Dimulai</x:v>
      </x:c>
      <x:c r="N62" s="31" t="n">
        <x:v>0</x:v>
      </x:c>
      <x:c r="O62" s="20" t="str">
        <x:f>IF(M62="Selesai &amp; Terverifikasi","Ready",IF(M62="Terkendala","Not Ready",IF(AND(J62="Critical",L62&lt;=TODAY()+3,N62&lt;100),"At Risk","In Progress")))</x:f>
        <x:v>In Progress</x:v>
      </x:c>
      <x:c r="P62" s="20" t="str">
        <x:v>Urutan acara belum final.</x:v>
      </x:c>
      <x:c r="Q62" s="20" t="str">
        <x:v>Simulasikan kebutuhan waktu untuk setiap skenario.</x:v>
      </x:c>
      <x:c r="R62" s="20" t="str"/>
      <x:c r="S62" s="20" t="str">
        <x:v>Initial Setup</x:v>
      </x:c>
      <x:c r="T62" s="32" t="n">
        <x:v>46229.833333333336</x:v>
      </x:c>
      <x:c r="U62" s="20" t="str"/>
      <x:c r="V62" s="20" t="str">
        <x:v>Belum Diverifikasi</x:v>
      </x:c>
      <x:c r="W62" s="20" t="str"/>
      <x:c r="X62" s="20" t="str"/>
      <x:c r="Y62" s="20" t="str">
        <x:v>Ya</x:v>
      </x:c>
      <x:c r="Z62" s="20" t="str">
        <x:v>A/B/C/D</x:v>
      </x:c>
      <x:c r="AA62" s="33" t="n">
        <x:f>IF(L62="","",L62-TODAY())</x:f>
        <x:v>8</x:v>
      </x:c>
      <x:c r="AB62" s="20" t="str">
        <x:f>IF(AND(L62&lt;&gt;"",L62&lt;TODAY(),M62&lt;&gt;"Selesai &amp; Terverifikasi",M62&lt;&gt;"Tidak Berlaku"),"OVERDUE","")</x:f>
      </x:c>
      <x:c r="AC62" s="20" t="n">
        <x:f>IF(J62="Critical",4,IF(J62="High",3,IF(J62="Medium",2,1)))</x:f>
        <x:v>4</x:v>
      </x:c>
      <x:c r="AD62" s="20" t="n">
        <x:f>N62*AC62</x:f>
        <x:v>0</x:v>
      </x:c>
    </x:row>
    <x:row r="63">
      <x:c r="A63" s="20" t="str">
        <x:v>TSK-062</x:v>
      </x:c>
      <x:c r="B63" s="20" t="str">
        <x:v>EVT-PLENARY</x:v>
      </x:c>
      <x:c r="C63" s="20" t="str">
        <x:v>Gedung Pertemuan</x:v>
      </x:c>
      <x:c r="D63" s="20" t="str">
        <x:v>Venue &amp; Event</x:v>
      </x:c>
      <x:c r="E63" s="20" t="str">
        <x:v>Lakukan gladi bersih Plenary</x:v>
      </x:c>
      <x:c r="F63" s="20" t="str">
        <x:v>Pembicara/stand-in, AV, MC, lighting dan protokol diuji.</x:v>
      </x:c>
      <x:c r="G63" s="20" t="str">
        <x:v>Shared</x:v>
      </x:c>
      <x:c r="H63" s="20" t="str">
        <x:v>Tempat &amp; Acara</x:v>
      </x:c>
      <x:c r="I63" s="20" t="str">
        <x:v>Zulfajri Ery Syahputra</x:v>
      </x:c>
      <x:c r="J63" s="20" t="str">
        <x:v>Critical</x:v>
      </x:c>
      <x:c r="K63" s="30" t="n">
        <x:v>46230</x:v>
      </x:c>
      <x:c r="L63" s="30" t="n">
        <x:v>46243</x:v>
      </x:c>
      <x:c r="M63" s="20" t="str">
        <x:v>Belum Dimulai</x:v>
      </x:c>
      <x:c r="N63" s="31" t="n">
        <x:v>0</x:v>
      </x:c>
      <x:c r="O63" s="20" t="str">
        <x:f>IF(M63="Selesai &amp; Terverifikasi","Ready",IF(M63="Terkendala","Not Ready",IF(AND(J63="Critical",L63&lt;=TODAY()+3,N63&lt;100),"At Risk","In Progress")))</x:f>
        <x:v>In Progress</x:v>
      </x:c>
      <x:c r="P63" s="20" t="str"/>
      <x:c r="Q63" s="20" t="str"/>
      <x:c r="R63" s="20" t="str"/>
      <x:c r="S63" s="20" t="str">
        <x:v>Initial Setup</x:v>
      </x:c>
      <x:c r="T63" s="32" t="n">
        <x:v>46229.833333333336</x:v>
      </x:c>
      <x:c r="U63" s="20" t="str"/>
      <x:c r="V63" s="20" t="str">
        <x:v>Belum Diverifikasi</x:v>
      </x:c>
      <x:c r="W63" s="20" t="str"/>
      <x:c r="X63" s="20" t="str"/>
      <x:c r="Y63" s="20" t="str">
        <x:v>Ya</x:v>
      </x:c>
      <x:c r="Z63" s="20" t="str">
        <x:v>A/B/C/D</x:v>
      </x:c>
      <x:c r="AA63" s="33" t="n">
        <x:f>IF(L63="","",L63-TODAY())</x:f>
        <x:v>14</x:v>
      </x:c>
      <x:c r="AB63" s="20" t="str">
        <x:f>IF(AND(L63&lt;&gt;"",L63&lt;TODAY(),M63&lt;&gt;"Selesai &amp; Terverifikasi",M63&lt;&gt;"Tidak Berlaku"),"OVERDUE","")</x:f>
      </x:c>
      <x:c r="AC63" s="20" t="n">
        <x:f>IF(J63="Critical",4,IF(J63="High",3,IF(J63="Medium",2,1)))</x:f>
        <x:v>4</x:v>
      </x:c>
      <x:c r="AD63" s="20" t="n">
        <x:f>N63*AC63</x:f>
        <x:v>0</x:v>
      </x:c>
    </x:row>
    <x:row r="64">
      <x:c r="A64" s="20" t="str">
        <x:v>TSK-063</x:v>
      </x:c>
      <x:c r="B64" s="20" t="str">
        <x:v>EVT-PLENARY</x:v>
      </x:c>
      <x:c r="C64" s="20" t="str">
        <x:v>Gedung Pertemuan</x:v>
      </x:c>
      <x:c r="D64" s="20" t="str">
        <x:v>Venue &amp; Event</x:v>
      </x:c>
      <x:c r="E64" s="20" t="str">
        <x:v>Final inspection Gedung Pertemuan</x:v>
      </x:c>
      <x:c r="F64" s="20" t="str">
        <x:v>Kebersihan, kursi, AV, akses dan keselamatan diverifikasi.</x:v>
      </x:c>
      <x:c r="G64" s="20" t="str">
        <x:v>Shared</x:v>
      </x:c>
      <x:c r="H64" s="20" t="str">
        <x:v>Tempat &amp; Acara</x:v>
      </x:c>
      <x:c r="I64" s="20" t="str">
        <x:v>Zulfajri Ery Syahputra</x:v>
      </x:c>
      <x:c r="J64" s="20" t="str">
        <x:v>Critical</x:v>
      </x:c>
      <x:c r="K64" s="30" t="n">
        <x:v>46230</x:v>
      </x:c>
      <x:c r="L64" s="30" t="n">
        <x:v>46243</x:v>
      </x:c>
      <x:c r="M64" s="20" t="str">
        <x:v>Belum Dimulai</x:v>
      </x:c>
      <x:c r="N64" s="31" t="n">
        <x:v>0</x:v>
      </x:c>
      <x:c r="O64" s="20" t="str">
        <x:f>IF(M64="Selesai &amp; Terverifikasi","Ready",IF(M64="Terkendala","Not Ready",IF(AND(J64="Critical",L64&lt;=TODAY()+3,N64&lt;100),"At Risk","In Progress")))</x:f>
        <x:v>In Progress</x:v>
      </x:c>
      <x:c r="P64" s="20" t="str"/>
      <x:c r="Q64" s="20" t="str"/>
      <x:c r="R64" s="20" t="str"/>
      <x:c r="S64" s="20" t="str">
        <x:v>Initial Setup</x:v>
      </x:c>
      <x:c r="T64" s="32" t="n">
        <x:v>46229.833333333336</x:v>
      </x:c>
      <x:c r="U64" s="20" t="str"/>
      <x:c r="V64" s="20" t="str">
        <x:v>Belum Diverifikasi</x:v>
      </x:c>
      <x:c r="W64" s="20" t="str"/>
      <x:c r="X64" s="20" t="str"/>
      <x:c r="Y64" s="20" t="str">
        <x:v>Ya</x:v>
      </x:c>
      <x:c r="Z64" s="20" t="str">
        <x:v>A/B/C/D</x:v>
      </x:c>
      <x:c r="AA64" s="33" t="n">
        <x:f>IF(L64="","",L64-TODAY())</x:f>
        <x:v>14</x:v>
      </x:c>
      <x:c r="AB64" s="20" t="str">
        <x:f>IF(AND(L64&lt;&gt;"",L64&lt;TODAY(),M64&lt;&gt;"Selesai &amp; Terverifikasi",M64&lt;&gt;"Tidak Berlaku"),"OVERDUE","")</x:f>
      </x:c>
      <x:c r="AC64" s="20" t="n">
        <x:f>IF(J64="Critical",4,IF(J64="High",3,IF(J64="Medium",2,1)))</x:f>
        <x:v>4</x:v>
      </x:c>
      <x:c r="AD64" s="20" t="n">
        <x:f>N64*AC64</x:f>
        <x:v>0</x:v>
      </x:c>
    </x:row>
    <x:row r="65">
      <x:c r="A65" s="20" t="str">
        <x:v>TSK-064</x:v>
      </x:c>
      <x:c r="B65" s="20" t="str">
        <x:v>EVT-KONS</x:v>
      </x:c>
      <x:c r="C65" s="20" t="str">
        <x:v>Ruang Teuku Umar</x:v>
      </x:c>
      <x:c r="D65" s="20" t="str">
        <x:v>Venue &amp; Event</x:v>
      </x:c>
      <x:c r="E65" s="20" t="str">
        <x:v>Konfirmasi peserta per batch</x:v>
      </x:c>
      <x:c r="F65" s="20" t="str">
        <x:v>Daftar Direksi dan Komisaris tiap perusahaan final.</x:v>
      </x:c>
      <x:c r="G65" s="20" t="str">
        <x:v>Shared</x:v>
      </x:c>
      <x:c r="H65" s="20" t="str">
        <x:v>Tempat &amp; Acara</x:v>
      </x:c>
      <x:c r="I65" s="20" t="str">
        <x:v>Zulfajri Ery Syahputra</x:v>
      </x:c>
      <x:c r="J65" s="20" t="str">
        <x:v>Critical</x:v>
      </x:c>
      <x:c r="K65" s="30" t="n">
        <x:v>46230</x:v>
      </x:c>
      <x:c r="L65" s="30" t="n">
        <x:v>46238</x:v>
      </x:c>
      <x:c r="M65" s="20" t="str">
        <x:v>Belum Dimulai</x:v>
      </x:c>
      <x:c r="N65" s="31" t="n">
        <x:v>0</x:v>
      </x:c>
      <x:c r="O65" s="20" t="str">
        <x:f>IF(M65="Selesai &amp; Terverifikasi","Ready",IF(M65="Terkendala","Not Ready",IF(AND(J65="Critical",L65&lt;=TODAY()+3,N65&lt;100),"At Risk","In Progress")))</x:f>
        <x:v>In Progress</x:v>
      </x:c>
      <x:c r="P65" s="20" t="str"/>
      <x:c r="Q65" s="20" t="str"/>
      <x:c r="R65" s="20" t="str"/>
      <x:c r="S65" s="20" t="str">
        <x:v>Initial Setup</x:v>
      </x:c>
      <x:c r="T65" s="32" t="n">
        <x:v>46229.833333333336</x:v>
      </x:c>
      <x:c r="U65" s="20" t="str"/>
      <x:c r="V65" s="20" t="str">
        <x:v>Belum Diverifikasi</x:v>
      </x:c>
      <x:c r="W65" s="20" t="str"/>
      <x:c r="X65" s="20" t="str"/>
      <x:c r="Y65" s="20" t="str">
        <x:v>Ya</x:v>
      </x:c>
      <x:c r="Z65" s="20" t="str">
        <x:v>A/B/C/D</x:v>
      </x:c>
      <x:c r="AA65" s="33" t="n">
        <x:f>IF(L65="","",L65-TODAY())</x:f>
        <x:v>9</x:v>
      </x:c>
      <x:c r="AB65" s="20" t="str">
        <x:f>IF(AND(L65&lt;&gt;"",L65&lt;TODAY(),M65&lt;&gt;"Selesai &amp; Terverifikasi",M65&lt;&gt;"Tidak Berlaku"),"OVERDUE","")</x:f>
      </x:c>
      <x:c r="AC65" s="20" t="n">
        <x:f>IF(J65="Critical",4,IF(J65="High",3,IF(J65="Medium",2,1)))</x:f>
        <x:v>4</x:v>
      </x:c>
      <x:c r="AD65" s="20" t="n">
        <x:f>N65*AC65</x:f>
        <x:v>0</x:v>
      </x:c>
    </x:row>
    <x:row r="66">
      <x:c r="A66" s="20" t="str">
        <x:v>TSK-065</x:v>
      </x:c>
      <x:c r="B66" s="20" t="str">
        <x:v>EVT-KONS</x:v>
      </x:c>
      <x:c r="C66" s="20" t="str">
        <x:v>Ruang Teuku Umar</x:v>
      </x:c>
      <x:c r="D66" s="20" t="str">
        <x:v>Venue &amp; Event</x:v>
      </x:c>
      <x:c r="E66" s="20" t="str">
        <x:v>Finalisasi urutan dan waktu tiga batch</x:v>
      </x:c>
      <x:c r="F66" s="20" t="str">
        <x:v>Jadwal 30 menit/perusahaan atau revisinya disetujui.</x:v>
      </x:c>
      <x:c r="G66" s="20" t="str">
        <x:v>Shared</x:v>
      </x:c>
      <x:c r="H66" s="20" t="str">
        <x:v>Tempat &amp; Acara</x:v>
      </x:c>
      <x:c r="I66" s="20" t="str">
        <x:v>Zulfajri Ery Syahputra</x:v>
      </x:c>
      <x:c r="J66" s="20" t="str">
        <x:v>Critical</x:v>
      </x:c>
      <x:c r="K66" s="30" t="n">
        <x:v>46230</x:v>
      </x:c>
      <x:c r="L66" s="30" t="n">
        <x:v>46238</x:v>
      </x:c>
      <x:c r="M66" s="20" t="str">
        <x:v>Belum Dimulai</x:v>
      </x:c>
      <x:c r="N66" s="31" t="n">
        <x:v>0</x:v>
      </x:c>
      <x:c r="O66" s="20" t="str">
        <x:f>IF(M66="Selesai &amp; Terverifikasi","Ready",IF(M66="Terkendala","Not Ready",IF(AND(J66="Critical",L66&lt;=TODAY()+3,N66&lt;100),"At Risk","In Progress")))</x:f>
        <x:v>In Progress</x:v>
      </x:c>
      <x:c r="P66" s="20" t="str"/>
      <x:c r="Q66" s="20" t="str"/>
      <x:c r="R66" s="20" t="str"/>
      <x:c r="S66" s="20" t="str">
        <x:v>Initial Setup</x:v>
      </x:c>
      <x:c r="T66" s="32" t="n">
        <x:v>46229.833333333336</x:v>
      </x:c>
      <x:c r="U66" s="20" t="str"/>
      <x:c r="V66" s="20" t="str">
        <x:v>Belum Diverifikasi</x:v>
      </x:c>
      <x:c r="W66" s="20" t="str"/>
      <x:c r="X66" s="20" t="str"/>
      <x:c r="Y66" s="20" t="str">
        <x:v>Ya</x:v>
      </x:c>
      <x:c r="Z66" s="20" t="str">
        <x:v>A/B/C/D</x:v>
      </x:c>
      <x:c r="AA66" s="33" t="n">
        <x:f>IF(L66="","",L66-TODAY())</x:f>
        <x:v>9</x:v>
      </x:c>
      <x:c r="AB66" s="20" t="str">
        <x:f>IF(AND(L66&lt;&gt;"",L66&lt;TODAY(),M66&lt;&gt;"Selesai &amp; Terverifikasi",M66&lt;&gt;"Tidak Berlaku"),"OVERDUE","")</x:f>
      </x:c>
      <x:c r="AC66" s="20" t="n">
        <x:f>IF(J66="Critical",4,IF(J66="High",3,IF(J66="Medium",2,1)))</x:f>
        <x:v>4</x:v>
      </x:c>
      <x:c r="AD66" s="20" t="n">
        <x:f>N66*AC66</x:f>
        <x:v>0</x:v>
      </x:c>
    </x:row>
    <x:row r="67">
      <x:c r="A67" s="20" t="str">
        <x:v>TSK-066</x:v>
      </x:c>
      <x:c r="B67" s="20" t="str">
        <x:v>EVT-KONS</x:v>
      </x:c>
      <x:c r="C67" s="20" t="str">
        <x:v>Ruang Teuku Umar</x:v>
      </x:c>
      <x:c r="D67" s="20" t="str">
        <x:v>Venue &amp; Event</x:v>
      </x:c>
      <x:c r="E67" s="20" t="str">
        <x:v>Finalisasi layout ruang</x:v>
      </x:c>
      <x:c r="F67" s="20" t="str">
        <x:v>Layout meja, kursi dan sirkulasi mendukung pergantian batch.</x:v>
      </x:c>
      <x:c r="G67" s="20" t="str">
        <x:v>Shared</x:v>
      </x:c>
      <x:c r="H67" s="20" t="str">
        <x:v>Tempat &amp; Acara</x:v>
      </x:c>
      <x:c r="I67" s="20" t="str">
        <x:v>Zulfajri Ery Syahputra</x:v>
      </x:c>
      <x:c r="J67" s="20" t="str">
        <x:v>High</x:v>
      </x:c>
      <x:c r="K67" s="30" t="n">
        <x:v>46230</x:v>
      </x:c>
      <x:c r="L67" s="30" t="n">
        <x:v>46239</x:v>
      </x:c>
      <x:c r="M67" s="20" t="str">
        <x:v>Belum Dimulai</x:v>
      </x:c>
      <x:c r="N67" s="31" t="n">
        <x:v>0</x:v>
      </x:c>
      <x:c r="O67" s="20" t="str">
        <x:f>IF(M67="Selesai &amp; Terverifikasi","Ready",IF(M67="Terkendala","Not Ready",IF(AND(J67="Critical",L67&lt;=TODAY()+3,N67&lt;100),"At Risk","In Progress")))</x:f>
        <x:v>In Progress</x:v>
      </x:c>
      <x:c r="P67" s="20" t="str"/>
      <x:c r="Q67" s="20" t="str"/>
      <x:c r="R67" s="20" t="str"/>
      <x:c r="S67" s="20" t="str">
        <x:v>Initial Setup</x:v>
      </x:c>
      <x:c r="T67" s="32" t="n">
        <x:v>46229.833333333336</x:v>
      </x:c>
      <x:c r="U67" s="20" t="str"/>
      <x:c r="V67" s="20" t="str">
        <x:v>Belum Diverifikasi</x:v>
      </x:c>
      <x:c r="W67" s="20" t="str"/>
      <x:c r="X67" s="20" t="str"/>
      <x:c r="Y67" s="20" t="str">
        <x:v>Ya</x:v>
      </x:c>
      <x:c r="Z67" s="20" t="str">
        <x:v>A/B/C/D</x:v>
      </x:c>
      <x:c r="AA67" s="33" t="n">
        <x:f>IF(L67="","",L67-TODAY())</x:f>
        <x:v>10</x:v>
      </x:c>
      <x:c r="AB67" s="20" t="str">
        <x:f>IF(AND(L67&lt;&gt;"",L67&lt;TODAY(),M67&lt;&gt;"Selesai &amp; Terverifikasi",M67&lt;&gt;"Tidak Berlaku"),"OVERDUE","")</x:f>
      </x:c>
      <x:c r="AC67" s="20" t="n">
        <x:f>IF(J67="Critical",4,IF(J67="High",3,IF(J67="Medium",2,1)))</x:f>
        <x:v>3</x:v>
      </x:c>
      <x:c r="AD67" s="20" t="n">
        <x:f>N67*AC67</x:f>
        <x:v>0</x:v>
      </x:c>
    </x:row>
    <x:row r="68">
      <x:c r="A68" s="20" t="str">
        <x:v>TSK-067</x:v>
      </x:c>
      <x:c r="B68" s="20" t="str">
        <x:v>EVT-KONS</x:v>
      </x:c>
      <x:c r="C68" s="20" t="str">
        <x:v>Ruang Teuku Umar</x:v>
      </x:c>
      <x:c r="D68" s="20" t="str">
        <x:v>Venue &amp; Event</x:v>
      </x:c>
      <x:c r="E68" s="20" t="str">
        <x:v>Siapkan nameplate dan seating</x:v>
      </x:c>
      <x:c r="F68" s="20" t="str">
        <x:v>Nama perusahaan dan peserta tersedia.</x:v>
      </x:c>
      <x:c r="G68" s="20" t="str">
        <x:v>Shared</x:v>
      </x:c>
      <x:c r="H68" s="20" t="str">
        <x:v>Tempat &amp; Acara</x:v>
      </x:c>
      <x:c r="I68" s="20" t="str">
        <x:v>Zulfajri Ery Syahputra</x:v>
      </x:c>
      <x:c r="J68" s="20" t="str">
        <x:v>High</x:v>
      </x:c>
      <x:c r="K68" s="30" t="n">
        <x:v>46230</x:v>
      </x:c>
      <x:c r="L68" s="30" t="n">
        <x:v>46242</x:v>
      </x:c>
      <x:c r="M68" s="20" t="str">
        <x:v>Belum Dimulai</x:v>
      </x:c>
      <x:c r="N68" s="31" t="n">
        <x:v>0</x:v>
      </x:c>
      <x:c r="O68" s="20" t="str">
        <x:f>IF(M68="Selesai &amp; Terverifikasi","Ready",IF(M68="Terkendala","Not Ready",IF(AND(J68="Critical",L68&lt;=TODAY()+3,N68&lt;100),"At Risk","In Progress")))</x:f>
        <x:v>In Progress</x:v>
      </x:c>
      <x:c r="P68" s="20" t="str"/>
      <x:c r="Q68" s="20" t="str"/>
      <x:c r="R68" s="20" t="str"/>
      <x:c r="S68" s="20" t="str">
        <x:v>Initial Setup</x:v>
      </x:c>
      <x:c r="T68" s="32" t="n">
        <x:v>46229.833333333336</x:v>
      </x:c>
      <x:c r="U68" s="20" t="str"/>
      <x:c r="V68" s="20" t="str">
        <x:v>Belum Diverifikasi</x:v>
      </x:c>
      <x:c r="W68" s="20" t="str"/>
      <x:c r="X68" s="20" t="str"/>
      <x:c r="Y68" s="20" t="str">
        <x:v>Ya</x:v>
      </x:c>
      <x:c r="Z68" s="20" t="str">
        <x:v>A/B/C/D</x:v>
      </x:c>
      <x:c r="AA68" s="33" t="n">
        <x:f>IF(L68="","",L68-TODAY())</x:f>
        <x:v>13</x:v>
      </x:c>
      <x:c r="AB68" s="20" t="str">
        <x:f>IF(AND(L68&lt;&gt;"",L68&lt;TODAY(),M68&lt;&gt;"Selesai &amp; Terverifikasi",M68&lt;&gt;"Tidak Berlaku"),"OVERDUE","")</x:f>
      </x:c>
      <x:c r="AC68" s="20" t="n">
        <x:f>IF(J68="Critical",4,IF(J68="High",3,IF(J68="Medium",2,1)))</x:f>
        <x:v>3</x:v>
      </x:c>
      <x:c r="AD68" s="20" t="n">
        <x:f>N68*AC68</x:f>
        <x:v>0</x:v>
      </x:c>
    </x:row>
    <x:row r="69">
      <x:c r="A69" s="20" t="str">
        <x:v>TSK-068</x:v>
      </x:c>
      <x:c r="B69" s="20" t="str">
        <x:v>EVT-KONS</x:v>
      </x:c>
      <x:c r="C69" s="20" t="str">
        <x:v>Ruang Teuku Umar</x:v>
      </x:c>
      <x:c r="D69" s="20" t="str">
        <x:v>Venue &amp; Event</x:v>
      </x:c>
      <x:c r="E69" s="20" t="str">
        <x:v>Siapkan AV dan materi</x:v>
      </x:c>
      <x:c r="F69" s="20" t="str">
        <x:v>Layar, laptop dan dokumen tiap perusahaan siap.</x:v>
      </x:c>
      <x:c r="G69" s="20" t="str">
        <x:v>Shared</x:v>
      </x:c>
      <x:c r="H69" s="20" t="str">
        <x:v>Tempat &amp; Acara</x:v>
      </x:c>
      <x:c r="I69" s="20" t="str">
        <x:v>Zulfajri Ery Syahputra</x:v>
      </x:c>
      <x:c r="J69" s="20" t="str">
        <x:v>High</x:v>
      </x:c>
      <x:c r="K69" s="30" t="n">
        <x:v>46230</x:v>
      </x:c>
      <x:c r="L69" s="30" t="n">
        <x:v>46242</x:v>
      </x:c>
      <x:c r="M69" s="20" t="str">
        <x:v>Belum Dimulai</x:v>
      </x:c>
      <x:c r="N69" s="31" t="n">
        <x:v>0</x:v>
      </x:c>
      <x:c r="O69" s="20" t="str">
        <x:f>IF(M69="Selesai &amp; Terverifikasi","Ready",IF(M69="Terkendala","Not Ready",IF(AND(J69="Critical",L69&lt;=TODAY()+3,N69&lt;100),"At Risk","In Progress")))</x:f>
        <x:v>In Progress</x:v>
      </x:c>
      <x:c r="P69" s="20" t="str"/>
      <x:c r="Q69" s="20" t="str"/>
      <x:c r="R69" s="20" t="str"/>
      <x:c r="S69" s="20" t="str">
        <x:v>Initial Setup</x:v>
      </x:c>
      <x:c r="T69" s="32" t="n">
        <x:v>46229.833333333336</x:v>
      </x:c>
      <x:c r="U69" s="20" t="str"/>
      <x:c r="V69" s="20" t="str">
        <x:v>Belum Diverifikasi</x:v>
      </x:c>
      <x:c r="W69" s="20" t="str"/>
      <x:c r="X69" s="20" t="str"/>
      <x:c r="Y69" s="20" t="str">
        <x:v>Ya</x:v>
      </x:c>
      <x:c r="Z69" s="20" t="str">
        <x:v>A/B/C/D</x:v>
      </x:c>
      <x:c r="AA69" s="33" t="n">
        <x:f>IF(L69="","",L69-TODAY())</x:f>
        <x:v>13</x:v>
      </x:c>
      <x:c r="AB69" s="20" t="str">
        <x:f>IF(AND(L69&lt;&gt;"",L69&lt;TODAY(),M69&lt;&gt;"Selesai &amp; Terverifikasi",M69&lt;&gt;"Tidak Berlaku"),"OVERDUE","")</x:f>
      </x:c>
      <x:c r="AC69" s="20" t="n">
        <x:f>IF(J69="Critical",4,IF(J69="High",3,IF(J69="Medium",2,1)))</x:f>
        <x:v>3</x:v>
      </x:c>
      <x:c r="AD69" s="20" t="n">
        <x:f>N69*AC69</x:f>
        <x:v>0</x:v>
      </x:c>
    </x:row>
    <x:row r="70">
      <x:c r="A70" s="20" t="str">
        <x:v>TSK-069</x:v>
      </x:c>
      <x:c r="B70" s="20" t="str">
        <x:v>EVT-KONS</x:v>
      </x:c>
      <x:c r="C70" s="20" t="str">
        <x:v>Ruang Teuku Umar</x:v>
      </x:c>
      <x:c r="D70" s="20" t="str">
        <x:v>Venue &amp; Event</x:v>
      </x:c>
      <x:c r="E70" s="20" t="str">
        <x:v>Tetapkan timekeeper dan liaison ruang</x:v>
      </x:c>
      <x:c r="F70" s="20" t="str">
        <x:v>Petugas mengendalikan waktu dan pergantian peserta.</x:v>
      </x:c>
      <x:c r="G70" s="20" t="str">
        <x:v>Shared</x:v>
      </x:c>
      <x:c r="H70" s="20" t="str">
        <x:v>Tempat &amp; Acara</x:v>
      </x:c>
      <x:c r="I70" s="20" t="str">
        <x:v>Zulfajri Ery Syahputra</x:v>
      </x:c>
      <x:c r="J70" s="20" t="str">
        <x:v>High</x:v>
      </x:c>
      <x:c r="K70" s="30" t="n">
        <x:v>46230</x:v>
      </x:c>
      <x:c r="L70" s="30" t="n">
        <x:v>46241</x:v>
      </x:c>
      <x:c r="M70" s="20" t="str">
        <x:v>Belum Dimulai</x:v>
      </x:c>
      <x:c r="N70" s="31" t="n">
        <x:v>0</x:v>
      </x:c>
      <x:c r="O70" s="20" t="str">
        <x:f>IF(M70="Selesai &amp; Terverifikasi","Ready",IF(M70="Terkendala","Not Ready",IF(AND(J70="Critical",L70&lt;=TODAY()+3,N70&lt;100),"At Risk","In Progress")))</x:f>
        <x:v>In Progress</x:v>
      </x:c>
      <x:c r="P70" s="20" t="str"/>
      <x:c r="Q70" s="20" t="str"/>
      <x:c r="R70" s="20" t="str"/>
      <x:c r="S70" s="20" t="str">
        <x:v>Initial Setup</x:v>
      </x:c>
      <x:c r="T70" s="32" t="n">
        <x:v>46229.833333333336</x:v>
      </x:c>
      <x:c r="U70" s="20" t="str"/>
      <x:c r="V70" s="20" t="str">
        <x:v>Belum Diverifikasi</x:v>
      </x:c>
      <x:c r="W70" s="20" t="str"/>
      <x:c r="X70" s="20" t="str"/>
      <x:c r="Y70" s="20" t="str">
        <x:v>Ya</x:v>
      </x:c>
      <x:c r="Z70" s="20" t="str">
        <x:v>A/B/C/D</x:v>
      </x:c>
      <x:c r="AA70" s="33" t="n">
        <x:f>IF(L70="","",L70-TODAY())</x:f>
        <x:v>12</x:v>
      </x:c>
      <x:c r="AB70" s="20" t="str">
        <x:f>IF(AND(L70&lt;&gt;"",L70&lt;TODAY(),M70&lt;&gt;"Selesai &amp; Terverifikasi",M70&lt;&gt;"Tidak Berlaku"),"OVERDUE","")</x:f>
      </x:c>
      <x:c r="AC70" s="20" t="n">
        <x:f>IF(J70="Critical",4,IF(J70="High",3,IF(J70="Medium",2,1)))</x:f>
        <x:v>3</x:v>
      </x:c>
      <x:c r="AD70" s="20" t="n">
        <x:f>N70*AC70</x:f>
        <x:v>0</x:v>
      </x:c>
    </x:row>
    <x:row r="71">
      <x:c r="A71" s="20" t="str">
        <x:v>TSK-070</x:v>
      </x:c>
      <x:c r="B71" s="20" t="str">
        <x:v>EVT-KONS</x:v>
      </x:c>
      <x:c r="C71" s="20" t="str">
        <x:v>Ruang Teuku Umar</x:v>
      </x:c>
      <x:c r="D71" s="20" t="str">
        <x:v>Venue &amp; Event</x:v>
      </x:c>
      <x:c r="E71" s="20" t="str">
        <x:v>Siapkan mekanisme kerahasiaan dokumen</x:v>
      </x:c>
      <x:c r="F71" s="20" t="str">
        <x:v>Dokumen terbatas, pengumpulan dan distribusi dikendalikan.</x:v>
      </x:c>
      <x:c r="G71" s="20" t="str">
        <x:v>Shared</x:v>
      </x:c>
      <x:c r="H71" s="20" t="str">
        <x:v>Tempat &amp; Acara</x:v>
      </x:c>
      <x:c r="I71" s="20" t="str">
        <x:v>Zulfajri Ery Syahputra</x:v>
      </x:c>
      <x:c r="J71" s="20" t="str">
        <x:v>Critical</x:v>
      </x:c>
      <x:c r="K71" s="30" t="n">
        <x:v>46230</x:v>
      </x:c>
      <x:c r="L71" s="30" t="n">
        <x:v>46241</x:v>
      </x:c>
      <x:c r="M71" s="20" t="str">
        <x:v>Belum Dimulai</x:v>
      </x:c>
      <x:c r="N71" s="31" t="n">
        <x:v>0</x:v>
      </x:c>
      <x:c r="O71" s="20" t="str">
        <x:f>IF(M71="Selesai &amp; Terverifikasi","Ready",IF(M71="Terkendala","Not Ready",IF(AND(J71="Critical",L71&lt;=TODAY()+3,N71&lt;100),"At Risk","In Progress")))</x:f>
        <x:v>In Progress</x:v>
      </x:c>
      <x:c r="P71" s="20" t="str"/>
      <x:c r="Q71" s="20" t="str"/>
      <x:c r="R71" s="20" t="str"/>
      <x:c r="S71" s="20" t="str">
        <x:v>Initial Setup</x:v>
      </x:c>
      <x:c r="T71" s="32" t="n">
        <x:v>46229.833333333336</x:v>
      </x:c>
      <x:c r="U71" s="20" t="str"/>
      <x:c r="V71" s="20" t="str">
        <x:v>Belum Diverifikasi</x:v>
      </x:c>
      <x:c r="W71" s="20" t="str"/>
      <x:c r="X71" s="20" t="str"/>
      <x:c r="Y71" s="20" t="str">
        <x:v>Ya</x:v>
      </x:c>
      <x:c r="Z71" s="20" t="str">
        <x:v>A/B/C/D</x:v>
      </x:c>
      <x:c r="AA71" s="33" t="n">
        <x:f>IF(L71="","",L71-TODAY())</x:f>
        <x:v>12</x:v>
      </x:c>
      <x:c r="AB71" s="20" t="str">
        <x:f>IF(AND(L71&lt;&gt;"",L71&lt;TODAY(),M71&lt;&gt;"Selesai &amp; Terverifikasi",M71&lt;&gt;"Tidak Berlaku"),"OVERDUE","")</x:f>
      </x:c>
      <x:c r="AC71" s="20" t="n">
        <x:f>IF(J71="Critical",4,IF(J71="High",3,IF(J71="Medium",2,1)))</x:f>
        <x:v>4</x:v>
      </x:c>
      <x:c r="AD71" s="20" t="n">
        <x:f>N71*AC71</x:f>
        <x:v>0</x:v>
      </x:c>
    </x:row>
    <x:row r="72">
      <x:c r="A72" s="20" t="str">
        <x:v>TSK-071</x:v>
      </x:c>
      <x:c r="B72" s="20" t="str">
        <x:v>EVT-KONS</x:v>
      </x:c>
      <x:c r="C72" s="20" t="str">
        <x:v>Ruang Teuku Umar</x:v>
      </x:c>
      <x:c r="D72" s="20" t="str">
        <x:v>Venue &amp; Event</x:v>
      </x:c>
      <x:c r="E72" s="20" t="str">
        <x:v>Siapkan refreshment ruang</x:v>
      </x:c>
      <x:c r="F72" s="20" t="str">
        <x:v>Air minum dan layanan ringan tersedia.</x:v>
      </x:c>
      <x:c r="G72" s="20" t="str">
        <x:v>Shared</x:v>
      </x:c>
      <x:c r="H72" s="20" t="str">
        <x:v>Tempat &amp; Acara</x:v>
      </x:c>
      <x:c r="I72" s="20" t="str">
        <x:v>Zulfajri Ery Syahputra</x:v>
      </x:c>
      <x:c r="J72" s="20" t="str">
        <x:v>Medium</x:v>
      </x:c>
      <x:c r="K72" s="30" t="n">
        <x:v>46230</x:v>
      </x:c>
      <x:c r="L72" s="30" t="n">
        <x:v>46242</x:v>
      </x:c>
      <x:c r="M72" s="20" t="str">
        <x:v>Belum Dimulai</x:v>
      </x:c>
      <x:c r="N72" s="31" t="n">
        <x:v>0</x:v>
      </x:c>
      <x:c r="O72" s="20" t="str">
        <x:f>IF(M72="Selesai &amp; Terverifikasi","Ready",IF(M72="Terkendala","Not Ready",IF(AND(J72="Critical",L72&lt;=TODAY()+3,N72&lt;100),"At Risk","In Progress")))</x:f>
        <x:v>In Progress</x:v>
      </x:c>
      <x:c r="P72" s="20" t="str"/>
      <x:c r="Q72" s="20" t="str"/>
      <x:c r="R72" s="20" t="str"/>
      <x:c r="S72" s="20" t="str">
        <x:v>Initial Setup</x:v>
      </x:c>
      <x:c r="T72" s="32" t="n">
        <x:v>46229.833333333336</x:v>
      </x:c>
      <x:c r="U72" s="20" t="str"/>
      <x:c r="V72" s="20" t="str">
        <x:v>Belum Diverifikasi</x:v>
      </x:c>
      <x:c r="W72" s="20" t="str"/>
      <x:c r="X72" s="20" t="str"/>
      <x:c r="Y72" s="20" t="str">
        <x:v>Ya</x:v>
      </x:c>
      <x:c r="Z72" s="20" t="str">
        <x:v>A/B/C/D</x:v>
      </x:c>
      <x:c r="AA72" s="33" t="n">
        <x:f>IF(L72="","",L72-TODAY())</x:f>
        <x:v>13</x:v>
      </x:c>
      <x:c r="AB72" s="20" t="str">
        <x:f>IF(AND(L72&lt;&gt;"",L72&lt;TODAY(),M72&lt;&gt;"Selesai &amp; Terverifikasi",M72&lt;&gt;"Tidak Berlaku"),"OVERDUE","")</x:f>
      </x:c>
      <x:c r="AC72" s="20" t="n">
        <x:f>IF(J72="Critical",4,IF(J72="High",3,IF(J72="Medium",2,1)))</x:f>
        <x:v>2</x:v>
      </x:c>
      <x:c r="AD72" s="20" t="n">
        <x:f>N72*AC72</x:f>
        <x:v>0</x:v>
      </x:c>
    </x:row>
    <x:row r="73">
      <x:c r="A73" s="20" t="str">
        <x:v>TSK-072</x:v>
      </x:c>
      <x:c r="B73" s="20" t="str">
        <x:v>EVT-KONS</x:v>
      </x:c>
      <x:c r="C73" s="20" t="str">
        <x:v>Ruang Teuku Umar</x:v>
      </x:c>
      <x:c r="D73" s="20" t="str">
        <x:v>Venue &amp; Event</x:v>
      </x:c>
      <x:c r="E73" s="20" t="str">
        <x:v>Lakukan simulasi pergantian batch</x:v>
      </x:c>
      <x:c r="F73" s="20" t="str">
        <x:v>Waktu keluar-masuk dan koordinasi LO diuji.</x:v>
      </x:c>
      <x:c r="G73" s="20" t="str">
        <x:v>Shared</x:v>
      </x:c>
      <x:c r="H73" s="20" t="str">
        <x:v>Tempat &amp; Acara</x:v>
      </x:c>
      <x:c r="I73" s="20" t="str">
        <x:v>Zulfajri Ery Syahputra</x:v>
      </x:c>
      <x:c r="J73" s="20" t="str">
        <x:v>High</x:v>
      </x:c>
      <x:c r="K73" s="30" t="n">
        <x:v>46230</x:v>
      </x:c>
      <x:c r="L73" s="30" t="n">
        <x:v>46243</x:v>
      </x:c>
      <x:c r="M73" s="20" t="str">
        <x:v>Belum Dimulai</x:v>
      </x:c>
      <x:c r="N73" s="31" t="n">
        <x:v>0</x:v>
      </x:c>
      <x:c r="O73" s="20" t="str">
        <x:f>IF(M73="Selesai &amp; Terverifikasi","Ready",IF(M73="Terkendala","Not Ready",IF(AND(J73="Critical",L73&lt;=TODAY()+3,N73&lt;100),"At Risk","In Progress")))</x:f>
        <x:v>In Progress</x:v>
      </x:c>
      <x:c r="P73" s="20" t="str"/>
      <x:c r="Q73" s="20" t="str"/>
      <x:c r="R73" s="20" t="str"/>
      <x:c r="S73" s="20" t="str">
        <x:v>Initial Setup</x:v>
      </x:c>
      <x:c r="T73" s="32" t="n">
        <x:v>46229.833333333336</x:v>
      </x:c>
      <x:c r="U73" s="20" t="str"/>
      <x:c r="V73" s="20" t="str">
        <x:v>Belum Diverifikasi</x:v>
      </x:c>
      <x:c r="W73" s="20" t="str"/>
      <x:c r="X73" s="20" t="str"/>
      <x:c r="Y73" s="20" t="str">
        <x:v>Ya</x:v>
      </x:c>
      <x:c r="Z73" s="20" t="str">
        <x:v>A/B/C/D</x:v>
      </x:c>
      <x:c r="AA73" s="33" t="n">
        <x:f>IF(L73="","",L73-TODAY())</x:f>
        <x:v>14</x:v>
      </x:c>
      <x:c r="AB73" s="20" t="str">
        <x:f>IF(AND(L73&lt;&gt;"",L73&lt;TODAY(),M73&lt;&gt;"Selesai &amp; Terverifikasi",M73&lt;&gt;"Tidak Berlaku"),"OVERDUE","")</x:f>
      </x:c>
      <x:c r="AC73" s="20" t="n">
        <x:f>IF(J73="Critical",4,IF(J73="High",3,IF(J73="Medium",2,1)))</x:f>
        <x:v>3</x:v>
      </x:c>
      <x:c r="AD73" s="20" t="n">
        <x:f>N73*AC73</x:f>
        <x:v>0</x:v>
      </x:c>
    </x:row>
    <x:row r="74">
      <x:c r="A74" s="20" t="str">
        <x:v>TSK-073</x:v>
      </x:c>
      <x:c r="B74" s="20" t="str">
        <x:v>EVT-KONS</x:v>
      </x:c>
      <x:c r="C74" s="20" t="str">
        <x:v>Ruang Teuku Umar</x:v>
      </x:c>
      <x:c r="D74" s="20" t="str">
        <x:v>Venue &amp; Event</x:v>
      </x:c>
      <x:c r="E74" s="20" t="str">
        <x:v>Final inspection Ruang Teuku Umar</x:v>
      </x:c>
      <x:c r="F74" s="20" t="str">
        <x:v>Kapasitas, layout, AV dan akses diverifikasi.</x:v>
      </x:c>
      <x:c r="G74" s="20" t="str">
        <x:v>Shared</x:v>
      </x:c>
      <x:c r="H74" s="20" t="str">
        <x:v>Tempat &amp; Acara</x:v>
      </x:c>
      <x:c r="I74" s="20" t="str">
        <x:v>Zulfajri Ery Syahputra</x:v>
      </x:c>
      <x:c r="J74" s="20" t="str">
        <x:v>Critical</x:v>
      </x:c>
      <x:c r="K74" s="30" t="n">
        <x:v>46230</x:v>
      </x:c>
      <x:c r="L74" s="30" t="n">
        <x:v>46243</x:v>
      </x:c>
      <x:c r="M74" s="20" t="str">
        <x:v>Belum Dimulai</x:v>
      </x:c>
      <x:c r="N74" s="31" t="n">
        <x:v>0</x:v>
      </x:c>
      <x:c r="O74" s="20" t="str">
        <x:f>IF(M74="Selesai &amp; Terverifikasi","Ready",IF(M74="Terkendala","Not Ready",IF(AND(J74="Critical",L74&lt;=TODAY()+3,N74&lt;100),"At Risk","In Progress")))</x:f>
        <x:v>In Progress</x:v>
      </x:c>
      <x:c r="P74" s="20" t="str"/>
      <x:c r="Q74" s="20" t="str"/>
      <x:c r="R74" s="20" t="str"/>
      <x:c r="S74" s="20" t="str">
        <x:v>Initial Setup</x:v>
      </x:c>
      <x:c r="T74" s="32" t="n">
        <x:v>46229.833333333336</x:v>
      </x:c>
      <x:c r="U74" s="20" t="str"/>
      <x:c r="V74" s="20" t="str">
        <x:v>Belum Diverifikasi</x:v>
      </x:c>
      <x:c r="W74" s="20" t="str"/>
      <x:c r="X74" s="20" t="str"/>
      <x:c r="Y74" s="20" t="str">
        <x:v>Ya</x:v>
      </x:c>
      <x:c r="Z74" s="20" t="str">
        <x:v>A/B/C/D</x:v>
      </x:c>
      <x:c r="AA74" s="33" t="n">
        <x:f>IF(L74="","",L74-TODAY())</x:f>
        <x:v>14</x:v>
      </x:c>
      <x:c r="AB74" s="20" t="str">
        <x:f>IF(AND(L74&lt;&gt;"",L74&lt;TODAY(),M74&lt;&gt;"Selesai &amp; Terverifikasi",M74&lt;&gt;"Tidak Berlaku"),"OVERDUE","")</x:f>
      </x:c>
      <x:c r="AC74" s="20" t="n">
        <x:f>IF(J74="Critical",4,IF(J74="High",3,IF(J74="Medium",2,1)))</x:f>
        <x:v>4</x:v>
      </x:c>
      <x:c r="AD74" s="20" t="n">
        <x:f>N74*AC74</x:f>
        <x:v>0</x:v>
      </x:c>
    </x:row>
    <x:row r="75">
      <x:c r="A75" s="20" t="str">
        <x:v>TSK-074</x:v>
      </x:c>
      <x:c r="B75" s="20" t="str">
        <x:v>EVT-OLIM</x:v>
      </x:c>
      <x:c r="C75" s="20" t="str">
        <x:v>Gedung Pertemuan</x:v>
      </x:c>
      <x:c r="D75" s="20" t="str">
        <x:v>Sports Event</x:v>
      </x:c>
      <x:c r="E75" s="20" t="str">
        <x:v>Finalisasi format final badminton</x:v>
      </x:c>
      <x:c r="F75" s="20" t="str">
        <x:v>Peserta, kategori, bracket, aturan dan jadwal disetujui.</x:v>
      </x:c>
      <x:c r="G75" s="20" t="str">
        <x:v>Shared</x:v>
      </x:c>
      <x:c r="H75" s="20" t="str">
        <x:v>Olahraga Bersama PI Group</x:v>
      </x:c>
      <x:c r="I75" s="20" t="str">
        <x:v>Murthala</x:v>
      </x:c>
      <x:c r="J75" s="20" t="str">
        <x:v>Critical</x:v>
      </x:c>
      <x:c r="K75" s="30" t="n">
        <x:v>46230</x:v>
      </x:c>
      <x:c r="L75" s="30" t="n">
        <x:v>46236</x:v>
      </x:c>
      <x:c r="M75" s="20" t="str">
        <x:v>Belum Dimulai</x:v>
      </x:c>
      <x:c r="N75" s="31" t="n">
        <x:v>0</x:v>
      </x:c>
      <x:c r="O75" s="20" t="str">
        <x:f>IF(M75="Selesai &amp; Terverifikasi","Ready",IF(M75="Terkendala","Not Ready",IF(AND(J75="Critical",L75&lt;=TODAY()+3,N75&lt;100),"At Risk","In Progress")))</x:f>
        <x:v>In Progress</x:v>
      </x:c>
      <x:c r="P75" s="20" t="str"/>
      <x:c r="Q75" s="20" t="str"/>
      <x:c r="R75" s="20" t="str"/>
      <x:c r="S75" s="20" t="str">
        <x:v>Initial Setup</x:v>
      </x:c>
      <x:c r="T75" s="32" t="n">
        <x:v>46229.833333333336</x:v>
      </x:c>
      <x:c r="U75" s="20" t="str"/>
      <x:c r="V75" s="20" t="str">
        <x:v>Belum Diverifikasi</x:v>
      </x:c>
      <x:c r="W75" s="20" t="str"/>
      <x:c r="X75" s="20" t="str"/>
      <x:c r="Y75" s="20" t="str">
        <x:v>Ya</x:v>
      </x:c>
      <x:c r="Z75" s="20" t="str">
        <x:v>A/B/C</x:v>
      </x:c>
      <x:c r="AA75" s="33" t="n">
        <x:f>IF(L75="","",L75-TODAY())</x:f>
        <x:v>7</x:v>
      </x:c>
      <x:c r="AB75" s="20" t="str">
        <x:f>IF(AND(L75&lt;&gt;"",L75&lt;TODAY(),M75&lt;&gt;"Selesai &amp; Terverifikasi",M75&lt;&gt;"Tidak Berlaku"),"OVERDUE","")</x:f>
      </x:c>
      <x:c r="AC75" s="20" t="n">
        <x:f>IF(J75="Critical",4,IF(J75="High",3,IF(J75="Medium",2,1)))</x:f>
        <x:v>4</x:v>
      </x:c>
      <x:c r="AD75" s="20" t="n">
        <x:f>N75*AC75</x:f>
        <x:v>0</x:v>
      </x:c>
    </x:row>
    <x:row r="76">
      <x:c r="A76" s="20" t="str">
        <x:v>TSK-075</x:v>
      </x:c>
      <x:c r="B76" s="20" t="str">
        <x:v>EVT-OLIM</x:v>
      </x:c>
      <x:c r="C76" s="20" t="str">
        <x:v>Gedung Pertemuan</x:v>
      </x:c>
      <x:c r="D76" s="20" t="str">
        <x:v>Sports Event</x:v>
      </x:c>
      <x:c r="E76" s="20" t="str">
        <x:v>Konfirmasi atlet dan official</x:v>
      </x:c>
      <x:c r="F76" s="20" t="str">
        <x:v>Daftar pemain, official dan kebutuhan khusus tervalidasi.</x:v>
      </x:c>
      <x:c r="G76" s="20" t="str">
        <x:v>Shared</x:v>
      </x:c>
      <x:c r="H76" s="20" t="str">
        <x:v>Olahraga Bersama PI Group</x:v>
      </x:c>
      <x:c r="I76" s="20" t="str">
        <x:v>Murthala</x:v>
      </x:c>
      <x:c r="J76" s="20" t="str">
        <x:v>High</x:v>
      </x:c>
      <x:c r="K76" s="30" t="n">
        <x:v>46230</x:v>
      </x:c>
      <x:c r="L76" s="30" t="n">
        <x:v>46238</x:v>
      </x:c>
      <x:c r="M76" s="20" t="str">
        <x:v>Belum Dimulai</x:v>
      </x:c>
      <x:c r="N76" s="31" t="n">
        <x:v>0</x:v>
      </x:c>
      <x:c r="O76" s="20" t="str">
        <x:f>IF(M76="Selesai &amp; Terverifikasi","Ready",IF(M76="Terkendala","Not Ready",IF(AND(J76="Critical",L76&lt;=TODAY()+3,N76&lt;100),"At Risk","In Progress")))</x:f>
        <x:v>In Progress</x:v>
      </x:c>
      <x:c r="P76" s="20" t="str"/>
      <x:c r="Q76" s="20" t="str"/>
      <x:c r="R76" s="20" t="str"/>
      <x:c r="S76" s="20" t="str">
        <x:v>Initial Setup</x:v>
      </x:c>
      <x:c r="T76" s="32" t="n">
        <x:v>46229.833333333336</x:v>
      </x:c>
      <x:c r="U76" s="20" t="str"/>
      <x:c r="V76" s="20" t="str">
        <x:v>Belum Diverifikasi</x:v>
      </x:c>
      <x:c r="W76" s="20" t="str"/>
      <x:c r="X76" s="20" t="str"/>
      <x:c r="Y76" s="20" t="str">
        <x:v>Ya</x:v>
      </x:c>
      <x:c r="Z76" s="20" t="str">
        <x:v>A/B/C</x:v>
      </x:c>
      <x:c r="AA76" s="33" t="n">
        <x:f>IF(L76="","",L76-TODAY())</x:f>
        <x:v>9</x:v>
      </x:c>
      <x:c r="AB76" s="20" t="str">
        <x:f>IF(AND(L76&lt;&gt;"",L76&lt;TODAY(),M76&lt;&gt;"Selesai &amp; Terverifikasi",M76&lt;&gt;"Tidak Berlaku"),"OVERDUE","")</x:f>
      </x:c>
      <x:c r="AC76" s="20" t="n">
        <x:f>IF(J76="Critical",4,IF(J76="High",3,IF(J76="Medium",2,1)))</x:f>
        <x:v>3</x:v>
      </x:c>
      <x:c r="AD76" s="20" t="n">
        <x:f>N76*AC76</x:f>
        <x:v>0</x:v>
      </x:c>
    </x:row>
    <x:row r="77">
      <x:c r="A77" s="20" t="str">
        <x:v>TSK-076</x:v>
      </x:c>
      <x:c r="B77" s="20" t="str">
        <x:v>EVT-OLIM</x:v>
      </x:c>
      <x:c r="C77" s="20" t="str">
        <x:v>Gedung Pertemuan</x:v>
      </x:c>
      <x:c r="D77" s="20" t="str">
        <x:v>Sports Event</x:v>
      </x:c>
      <x:c r="E77" s="20" t="str">
        <x:v>Siapkan court, net dan marking</x:v>
      </x:c>
      <x:c r="F77" s="20" t="str">
        <x:v>Lapangan sesuai standar event dan aman.</x:v>
      </x:c>
      <x:c r="G77" s="20" t="str">
        <x:v>Shared</x:v>
      </x:c>
      <x:c r="H77" s="20" t="str">
        <x:v>Olahraga Bersama PI Group</x:v>
      </x:c>
      <x:c r="I77" s="20" t="str">
        <x:v>Murthala</x:v>
      </x:c>
      <x:c r="J77" s="20" t="str">
        <x:v>Critical</x:v>
      </x:c>
      <x:c r="K77" s="30" t="n">
        <x:v>46230</x:v>
      </x:c>
      <x:c r="L77" s="30" t="n">
        <x:v>46242</x:v>
      </x:c>
      <x:c r="M77" s="20" t="str">
        <x:v>Belum Dimulai</x:v>
      </x:c>
      <x:c r="N77" s="31" t="n">
        <x:v>0</x:v>
      </x:c>
      <x:c r="O77" s="20" t="str">
        <x:f>IF(M77="Selesai &amp; Terverifikasi","Ready",IF(M77="Terkendala","Not Ready",IF(AND(J77="Critical",L77&lt;=TODAY()+3,N77&lt;100),"At Risk","In Progress")))</x:f>
        <x:v>In Progress</x:v>
      </x:c>
      <x:c r="P77" s="20" t="str"/>
      <x:c r="Q77" s="20" t="str"/>
      <x:c r="R77" s="20" t="str"/>
      <x:c r="S77" s="20" t="str">
        <x:v>Initial Setup</x:v>
      </x:c>
      <x:c r="T77" s="32" t="n">
        <x:v>46229.833333333336</x:v>
      </x:c>
      <x:c r="U77" s="20" t="str"/>
      <x:c r="V77" s="20" t="str">
        <x:v>Belum Diverifikasi</x:v>
      </x:c>
      <x:c r="W77" s="20" t="str"/>
      <x:c r="X77" s="20" t="str"/>
      <x:c r="Y77" s="20" t="str">
        <x:v>Ya</x:v>
      </x:c>
      <x:c r="Z77" s="20" t="str">
        <x:v>A/B/C</x:v>
      </x:c>
      <x:c r="AA77" s="33" t="n">
        <x:f>IF(L77="","",L77-TODAY())</x:f>
        <x:v>13</x:v>
      </x:c>
      <x:c r="AB77" s="20" t="str">
        <x:f>IF(AND(L77&lt;&gt;"",L77&lt;TODAY(),M77&lt;&gt;"Selesai &amp; Terverifikasi",M77&lt;&gt;"Tidak Berlaku"),"OVERDUE","")</x:f>
      </x:c>
      <x:c r="AC77" s="20" t="n">
        <x:f>IF(J77="Critical",4,IF(J77="High",3,IF(J77="Medium",2,1)))</x:f>
        <x:v>4</x:v>
      </x:c>
      <x:c r="AD77" s="20" t="n">
        <x:f>N77*AC77</x:f>
        <x:v>0</x:v>
      </x:c>
    </x:row>
    <x:row r="78">
      <x:c r="A78" s="20" t="str">
        <x:v>TSK-077</x:v>
      </x:c>
      <x:c r="B78" s="20" t="str">
        <x:v>EVT-OLIM</x:v>
      </x:c>
      <x:c r="C78" s="20" t="str">
        <x:v>Gedung Pertemuan</x:v>
      </x:c>
      <x:c r="D78" s="20" t="str">
        <x:v>Sports Event</x:v>
      </x:c>
      <x:c r="E78" s="20" t="str">
        <x:v>Siapkan pencahayaan pertandingan</x:v>
      </x:c>
      <x:c r="F78" s="20" t="str">
        <x:v>Lux dan arah cahaya memadai serta diuji.</x:v>
      </x:c>
      <x:c r="G78" s="20" t="str">
        <x:v>Shared</x:v>
      </x:c>
      <x:c r="H78" s="20" t="str">
        <x:v>Olahraga Bersama PI Group</x:v>
      </x:c>
      <x:c r="I78" s="20" t="str">
        <x:v>Murthala</x:v>
      </x:c>
      <x:c r="J78" s="20" t="str">
        <x:v>High</x:v>
      </x:c>
      <x:c r="K78" s="30" t="n">
        <x:v>46230</x:v>
      </x:c>
      <x:c r="L78" s="30" t="n">
        <x:v>46242</x:v>
      </x:c>
      <x:c r="M78" s="20" t="str">
        <x:v>Belum Dimulai</x:v>
      </x:c>
      <x:c r="N78" s="31" t="n">
        <x:v>0</x:v>
      </x:c>
      <x:c r="O78" s="20" t="str">
        <x:f>IF(M78="Selesai &amp; Terverifikasi","Ready",IF(M78="Terkendala","Not Ready",IF(AND(J78="Critical",L78&lt;=TODAY()+3,N78&lt;100),"At Risk","In Progress")))</x:f>
        <x:v>In Progress</x:v>
      </x:c>
      <x:c r="P78" s="20" t="str"/>
      <x:c r="Q78" s="20" t="str"/>
      <x:c r="R78" s="20" t="str"/>
      <x:c r="S78" s="20" t="str">
        <x:v>Initial Setup</x:v>
      </x:c>
      <x:c r="T78" s="32" t="n">
        <x:v>46229.833333333336</x:v>
      </x:c>
      <x:c r="U78" s="20" t="str"/>
      <x:c r="V78" s="20" t="str">
        <x:v>Belum Diverifikasi</x:v>
      </x:c>
      <x:c r="W78" s="20" t="str"/>
      <x:c r="X78" s="20" t="str"/>
      <x:c r="Y78" s="20" t="str">
        <x:v>Ya</x:v>
      </x:c>
      <x:c r="Z78" s="20" t="str">
        <x:v>A/B/C</x:v>
      </x:c>
      <x:c r="AA78" s="33" t="n">
        <x:f>IF(L78="","",L78-TODAY())</x:f>
        <x:v>13</x:v>
      </x:c>
      <x:c r="AB78" s="20" t="str">
        <x:f>IF(AND(L78&lt;&gt;"",L78&lt;TODAY(),M78&lt;&gt;"Selesai &amp; Terverifikasi",M78&lt;&gt;"Tidak Berlaku"),"OVERDUE","")</x:f>
      </x:c>
      <x:c r="AC78" s="20" t="n">
        <x:f>IF(J78="Critical",4,IF(J78="High",3,IF(J78="Medium",2,1)))</x:f>
        <x:v>3</x:v>
      </x:c>
      <x:c r="AD78" s="20" t="n">
        <x:f>N78*AC78</x:f>
        <x:v>0</x:v>
      </x:c>
    </x:row>
    <x:row r="79">
      <x:c r="A79" s="20" t="str">
        <x:v>TSK-078</x:v>
      </x:c>
      <x:c r="B79" s="20" t="str">
        <x:v>EVT-OLIM</x:v>
      </x:c>
      <x:c r="C79" s="20" t="str">
        <x:v>Gedung Pertemuan</x:v>
      </x:c>
      <x:c r="D79" s="20" t="str">
        <x:v>Sports Event</x:v>
      </x:c>
      <x:c r="E79" s="20" t="str">
        <x:v>Siapkan scoring system dan scoreboard</x:v>
      </x:c>
      <x:c r="F79" s="20" t="str">
        <x:v>Sistem skor, operator dan backup manual siap.</x:v>
      </x:c>
      <x:c r="G79" s="20" t="str">
        <x:v>Shared</x:v>
      </x:c>
      <x:c r="H79" s="20" t="str">
        <x:v>Olahraga Bersama PI Group</x:v>
      </x:c>
      <x:c r="I79" s="20" t="str">
        <x:v>Murthala</x:v>
      </x:c>
      <x:c r="J79" s="20" t="str">
        <x:v>High</x:v>
      </x:c>
      <x:c r="K79" s="30" t="n">
        <x:v>46230</x:v>
      </x:c>
      <x:c r="L79" s="30" t="n">
        <x:v>46242</x:v>
      </x:c>
      <x:c r="M79" s="20" t="str">
        <x:v>Belum Dimulai</x:v>
      </x:c>
      <x:c r="N79" s="31" t="n">
        <x:v>0</x:v>
      </x:c>
      <x:c r="O79" s="20" t="str">
        <x:f>IF(M79="Selesai &amp; Terverifikasi","Ready",IF(M79="Terkendala","Not Ready",IF(AND(J79="Critical",L79&lt;=TODAY()+3,N79&lt;100),"At Risk","In Progress")))</x:f>
        <x:v>In Progress</x:v>
      </x:c>
      <x:c r="P79" s="20" t="str"/>
      <x:c r="Q79" s="20" t="str"/>
      <x:c r="R79" s="20" t="str"/>
      <x:c r="S79" s="20" t="str">
        <x:v>Initial Setup</x:v>
      </x:c>
      <x:c r="T79" s="32" t="n">
        <x:v>46229.833333333336</x:v>
      </x:c>
      <x:c r="U79" s="20" t="str"/>
      <x:c r="V79" s="20" t="str">
        <x:v>Belum Diverifikasi</x:v>
      </x:c>
      <x:c r="W79" s="20" t="str"/>
      <x:c r="X79" s="20" t="str"/>
      <x:c r="Y79" s="20" t="str">
        <x:v>Ya</x:v>
      </x:c>
      <x:c r="Z79" s="20" t="str">
        <x:v>A/B/C</x:v>
      </x:c>
      <x:c r="AA79" s="33" t="n">
        <x:f>IF(L79="","",L79-TODAY())</x:f>
        <x:v>13</x:v>
      </x:c>
      <x:c r="AB79" s="20" t="str">
        <x:f>IF(AND(L79&lt;&gt;"",L79&lt;TODAY(),M79&lt;&gt;"Selesai &amp; Terverifikasi",M79&lt;&gt;"Tidak Berlaku"),"OVERDUE","")</x:f>
      </x:c>
      <x:c r="AC79" s="20" t="n">
        <x:f>IF(J79="Critical",4,IF(J79="High",3,IF(J79="Medium",2,1)))</x:f>
        <x:v>3</x:v>
      </x:c>
      <x:c r="AD79" s="20" t="n">
        <x:f>N79*AC79</x:f>
        <x:v>0</x:v>
      </x:c>
    </x:row>
    <x:row r="80">
      <x:c r="A80" s="20" t="str">
        <x:v>TSK-079</x:v>
      </x:c>
      <x:c r="B80" s="20" t="str">
        <x:v>EVT-OLIM</x:v>
      </x:c>
      <x:c r="C80" s="20" t="str">
        <x:v>Gedung Pertemuan</x:v>
      </x:c>
      <x:c r="D80" s="20" t="str">
        <x:v>Sports Event</x:v>
      </x:c>
      <x:c r="E80" s="20" t="str">
        <x:v>Tetapkan referee, umpire dan line judge</x:v>
      </x:c>
      <x:c r="F80" s="20" t="str">
        <x:v>Petugas dan briefing aturan tersedia.</x:v>
      </x:c>
      <x:c r="G80" s="20" t="str">
        <x:v>Shared</x:v>
      </x:c>
      <x:c r="H80" s="20" t="str">
        <x:v>Olahraga Bersama PI Group</x:v>
      </x:c>
      <x:c r="I80" s="20" t="str">
        <x:v>Murthala</x:v>
      </x:c>
      <x:c r="J80" s="20" t="str">
        <x:v>Critical</x:v>
      </x:c>
      <x:c r="K80" s="30" t="n">
        <x:v>46230</x:v>
      </x:c>
      <x:c r="L80" s="30" t="n">
        <x:v>46240</x:v>
      </x:c>
      <x:c r="M80" s="20" t="str">
        <x:v>Belum Dimulai</x:v>
      </x:c>
      <x:c r="N80" s="31" t="n">
        <x:v>0</x:v>
      </x:c>
      <x:c r="O80" s="20" t="str">
        <x:f>IF(M80="Selesai &amp; Terverifikasi","Ready",IF(M80="Terkendala","Not Ready",IF(AND(J80="Critical",L80&lt;=TODAY()+3,N80&lt;100),"At Risk","In Progress")))</x:f>
        <x:v>In Progress</x:v>
      </x:c>
      <x:c r="P80" s="20" t="str"/>
      <x:c r="Q80" s="20" t="str"/>
      <x:c r="R80" s="20" t="str"/>
      <x:c r="S80" s="20" t="str">
        <x:v>Initial Setup</x:v>
      </x:c>
      <x:c r="T80" s="32" t="n">
        <x:v>46229.833333333336</x:v>
      </x:c>
      <x:c r="U80" s="20" t="str"/>
      <x:c r="V80" s="20" t="str">
        <x:v>Belum Diverifikasi</x:v>
      </x:c>
      <x:c r="W80" s="20" t="str"/>
      <x:c r="X80" s="20" t="str"/>
      <x:c r="Y80" s="20" t="str">
        <x:v>Ya</x:v>
      </x:c>
      <x:c r="Z80" s="20" t="str">
        <x:v>A/B/C</x:v>
      </x:c>
      <x:c r="AA80" s="33" t="n">
        <x:f>IF(L80="","",L80-TODAY())</x:f>
        <x:v>11</x:v>
      </x:c>
      <x:c r="AB80" s="20" t="str">
        <x:f>IF(AND(L80&lt;&gt;"",L80&lt;TODAY(),M80&lt;&gt;"Selesai &amp; Terverifikasi",M80&lt;&gt;"Tidak Berlaku"),"OVERDUE","")</x:f>
      </x:c>
      <x:c r="AC80" s="20" t="n">
        <x:f>IF(J80="Critical",4,IF(J80="High",3,IF(J80="Medium",2,1)))</x:f>
        <x:v>4</x:v>
      </x:c>
      <x:c r="AD80" s="20" t="n">
        <x:f>N80*AC80</x:f>
        <x:v>0</x:v>
      </x:c>
    </x:row>
    <x:row r="81">
      <x:c r="A81" s="20" t="str">
        <x:v>TSK-080</x:v>
      </x:c>
      <x:c r="B81" s="20" t="str">
        <x:v>EVT-OLIM</x:v>
      </x:c>
      <x:c r="C81" s="20" t="str">
        <x:v>Gedung Pertemuan</x:v>
      </x:c>
      <x:c r="D81" s="20" t="str">
        <x:v>Sports Event</x:v>
      </x:c>
      <x:c r="E81" s="20" t="str">
        <x:v>Siapkan area warm-up dan pemain</x:v>
      </x:c>
      <x:c r="F81" s="20" t="str">
        <x:v>Area tunggu, kursi, air minum dan akses tersedia.</x:v>
      </x:c>
      <x:c r="G81" s="20" t="str">
        <x:v>Shared</x:v>
      </x:c>
      <x:c r="H81" s="20" t="str">
        <x:v>Olahraga Bersama PI Group</x:v>
      </x:c>
      <x:c r="I81" s="20" t="str">
        <x:v>Murthala</x:v>
      </x:c>
      <x:c r="J81" s="20" t="str">
        <x:v>High</x:v>
      </x:c>
      <x:c r="K81" s="30" t="n">
        <x:v>46230</x:v>
      </x:c>
      <x:c r="L81" s="30" t="n">
        <x:v>46242</x:v>
      </x:c>
      <x:c r="M81" s="20" t="str">
        <x:v>Belum Dimulai</x:v>
      </x:c>
      <x:c r="N81" s="31" t="n">
        <x:v>0</x:v>
      </x:c>
      <x:c r="O81" s="20" t="str">
        <x:f>IF(M81="Selesai &amp; Terverifikasi","Ready",IF(M81="Terkendala","Not Ready",IF(AND(J81="Critical",L81&lt;=TODAY()+3,N81&lt;100),"At Risk","In Progress")))</x:f>
        <x:v>In Progress</x:v>
      </x:c>
      <x:c r="P81" s="20" t="str"/>
      <x:c r="Q81" s="20" t="str"/>
      <x:c r="R81" s="20" t="str"/>
      <x:c r="S81" s="20" t="str">
        <x:v>Initial Setup</x:v>
      </x:c>
      <x:c r="T81" s="32" t="n">
        <x:v>46229.833333333336</x:v>
      </x:c>
      <x:c r="U81" s="20" t="str"/>
      <x:c r="V81" s="20" t="str">
        <x:v>Belum Diverifikasi</x:v>
      </x:c>
      <x:c r="W81" s="20" t="str"/>
      <x:c r="X81" s="20" t="str"/>
      <x:c r="Y81" s="20" t="str">
        <x:v>Ya</x:v>
      </x:c>
      <x:c r="Z81" s="20" t="str">
        <x:v>A/B/C</x:v>
      </x:c>
      <x:c r="AA81" s="33" t="n">
        <x:f>IF(L81="","",L81-TODAY())</x:f>
        <x:v>13</x:v>
      </x:c>
      <x:c r="AB81" s="20" t="str">
        <x:f>IF(AND(L81&lt;&gt;"",L81&lt;TODAY(),M81&lt;&gt;"Selesai &amp; Terverifikasi",M81&lt;&gt;"Tidak Berlaku"),"OVERDUE","")</x:f>
      </x:c>
      <x:c r="AC81" s="20" t="n">
        <x:f>IF(J81="Critical",4,IF(J81="High",3,IF(J81="Medium",2,1)))</x:f>
        <x:v>3</x:v>
      </x:c>
      <x:c r="AD81" s="20" t="n">
        <x:f>N81*AC81</x:f>
        <x:v>0</x:v>
      </x:c>
    </x:row>
    <x:row r="82">
      <x:c r="A82" s="20" t="str">
        <x:v>TSK-081</x:v>
      </x:c>
      <x:c r="B82" s="20" t="str">
        <x:v>EVT-OLIM</x:v>
      </x:c>
      <x:c r="C82" s="20" t="str">
        <x:v>Gedung Pertemuan</x:v>
      </x:c>
      <x:c r="D82" s="20" t="str">
        <x:v>Sports Event</x:v>
      </x:c>
      <x:c r="E82" s="20" t="str">
        <x:v>Finalisasi management exhibition</x:v>
      </x:c>
      <x:c r="F82" s="20" t="str">
        <x:v>Peserta, format dan durasi exhibition disetujui.</x:v>
      </x:c>
      <x:c r="G82" s="20" t="str">
        <x:v>Shared</x:v>
      </x:c>
      <x:c r="H82" s="20" t="str">
        <x:v>Olahraga Bersama PI Group</x:v>
      </x:c>
      <x:c r="I82" s="20" t="str">
        <x:v>Murthala</x:v>
      </x:c>
      <x:c r="J82" s="20" t="str">
        <x:v>High</x:v>
      </x:c>
      <x:c r="K82" s="30" t="n">
        <x:v>46230</x:v>
      </x:c>
      <x:c r="L82" s="30" t="n">
        <x:v>46239</x:v>
      </x:c>
      <x:c r="M82" s="20" t="str">
        <x:v>Belum Dimulai</x:v>
      </x:c>
      <x:c r="N82" s="31" t="n">
        <x:v>0</x:v>
      </x:c>
      <x:c r="O82" s="20" t="str">
        <x:f>IF(M82="Selesai &amp; Terverifikasi","Ready",IF(M82="Terkendala","Not Ready",IF(AND(J82="Critical",L82&lt;=TODAY()+3,N82&lt;100),"At Risk","In Progress")))</x:f>
        <x:v>In Progress</x:v>
      </x:c>
      <x:c r="P82" s="20" t="str"/>
      <x:c r="Q82" s="20" t="str"/>
      <x:c r="R82" s="20" t="str"/>
      <x:c r="S82" s="20" t="str">
        <x:v>Initial Setup</x:v>
      </x:c>
      <x:c r="T82" s="32" t="n">
        <x:v>46229.833333333336</x:v>
      </x:c>
      <x:c r="U82" s="20" t="str"/>
      <x:c r="V82" s="20" t="str">
        <x:v>Belum Diverifikasi</x:v>
      </x:c>
      <x:c r="W82" s="20" t="str"/>
      <x:c r="X82" s="20" t="str"/>
      <x:c r="Y82" s="20" t="str">
        <x:v>Ya</x:v>
      </x:c>
      <x:c r="Z82" s="20" t="str">
        <x:v>A/B/C</x:v>
      </x:c>
      <x:c r="AA82" s="33" t="n">
        <x:f>IF(L82="","",L82-TODAY())</x:f>
        <x:v>10</x:v>
      </x:c>
      <x:c r="AB82" s="20" t="str">
        <x:f>IF(AND(L82&lt;&gt;"",L82&lt;TODAY(),M82&lt;&gt;"Selesai &amp; Terverifikasi",M82&lt;&gt;"Tidak Berlaku"),"OVERDUE","")</x:f>
      </x:c>
      <x:c r="AC82" s="20" t="n">
        <x:f>IF(J82="Critical",4,IF(J82="High",3,IF(J82="Medium",2,1)))</x:f>
        <x:v>3</x:v>
      </x:c>
      <x:c r="AD82" s="20" t="n">
        <x:f>N82*AC82</x:f>
        <x:v>0</x:v>
      </x:c>
    </x:row>
    <x:row r="83">
      <x:c r="A83" s="20" t="str">
        <x:v>TSK-082</x:v>
      </x:c>
      <x:c r="B83" s="20" t="str">
        <x:v>EVT-OLIM</x:v>
      </x:c>
      <x:c r="C83" s="20" t="str">
        <x:v>Gedung Pertemuan</x:v>
      </x:c>
      <x:c r="D83" s="20" t="str">
        <x:v>Sports Event</x:v>
      </x:c>
      <x:c r="E83" s="20" t="str">
        <x:v>Finalisasi entertainment PIM Art</x:v>
      </x:c>
      <x:c r="F83" s="20" t="str">
        <x:v>Penampil, durasi, audio dan transisi disetujui.</x:v>
      </x:c>
      <x:c r="G83" s="20" t="str">
        <x:v>Shared</x:v>
      </x:c>
      <x:c r="H83" s="20" t="str">
        <x:v>Olahraga Bersama PI Group</x:v>
      </x:c>
      <x:c r="I83" s="20" t="str">
        <x:v>Murthala</x:v>
      </x:c>
      <x:c r="J83" s="20" t="str">
        <x:v>Medium</x:v>
      </x:c>
      <x:c r="K83" s="30" t="n">
        <x:v>46230</x:v>
      </x:c>
      <x:c r="L83" s="30" t="n">
        <x:v>46240</x:v>
      </x:c>
      <x:c r="M83" s="20" t="str">
        <x:v>Belum Dimulai</x:v>
      </x:c>
      <x:c r="N83" s="31" t="n">
        <x:v>0</x:v>
      </x:c>
      <x:c r="O83" s="20" t="str">
        <x:f>IF(M83="Selesai &amp; Terverifikasi","Ready",IF(M83="Terkendala","Not Ready",IF(AND(J83="Critical",L83&lt;=TODAY()+3,N83&lt;100),"At Risk","In Progress")))</x:f>
        <x:v>In Progress</x:v>
      </x:c>
      <x:c r="P83" s="20" t="str"/>
      <x:c r="Q83" s="20" t="str"/>
      <x:c r="R83" s="20" t="str"/>
      <x:c r="S83" s="20" t="str">
        <x:v>Initial Setup</x:v>
      </x:c>
      <x:c r="T83" s="32" t="n">
        <x:v>46229.833333333336</x:v>
      </x:c>
      <x:c r="U83" s="20" t="str"/>
      <x:c r="V83" s="20" t="str">
        <x:v>Belum Diverifikasi</x:v>
      </x:c>
      <x:c r="W83" s="20" t="str"/>
      <x:c r="X83" s="20" t="str"/>
      <x:c r="Y83" s="20" t="str">
        <x:v>Ya</x:v>
      </x:c>
      <x:c r="Z83" s="20" t="str">
        <x:v>A/B/C</x:v>
      </x:c>
      <x:c r="AA83" s="33" t="n">
        <x:f>IF(L83="","",L83-TODAY())</x:f>
        <x:v>11</x:v>
      </x:c>
      <x:c r="AB83" s="20" t="str">
        <x:f>IF(AND(L83&lt;&gt;"",L83&lt;TODAY(),M83&lt;&gt;"Selesai &amp; Terverifikasi",M83&lt;&gt;"Tidak Berlaku"),"OVERDUE","")</x:f>
      </x:c>
      <x:c r="AC83" s="20" t="n">
        <x:f>IF(J83="Critical",4,IF(J83="High",3,IF(J83="Medium",2,1)))</x:f>
        <x:v>2</x:v>
      </x:c>
      <x:c r="AD83" s="20" t="n">
        <x:f>N83*AC83</x:f>
        <x:v>0</x:v>
      </x:c>
    </x:row>
    <x:row r="84">
      <x:c r="A84" s="20" t="str">
        <x:v>TSK-083</x:v>
      </x:c>
      <x:c r="B84" s="20" t="str">
        <x:v>EVT-OLIM</x:v>
      </x:c>
      <x:c r="C84" s="20" t="str">
        <x:v>Gedung Pertemuan</x:v>
      </x:c>
      <x:c r="D84" s="20" t="str">
        <x:v>Sports Event</x:v>
      </x:c>
      <x:c r="E84" s="20" t="str">
        <x:v>Finalisasi MC script dan safety briefing</x:v>
      </x:c>
      <x:c r="F84" s="20" t="str">
        <x:v>Script, cue dan rundown detail siap.</x:v>
      </x:c>
      <x:c r="G84" s="20" t="str">
        <x:v>Shared</x:v>
      </x:c>
      <x:c r="H84" s="20" t="str">
        <x:v>Olahraga Bersama PI Group</x:v>
      </x:c>
      <x:c r="I84" s="20" t="str">
        <x:v>Murthala</x:v>
      </x:c>
      <x:c r="J84" s="20" t="str">
        <x:v>High</x:v>
      </x:c>
      <x:c r="K84" s="30" t="n">
        <x:v>46230</x:v>
      </x:c>
      <x:c r="L84" s="30" t="n">
        <x:v>46241</x:v>
      </x:c>
      <x:c r="M84" s="20" t="str">
        <x:v>Belum Dimulai</x:v>
      </x:c>
      <x:c r="N84" s="31" t="n">
        <x:v>0</x:v>
      </x:c>
      <x:c r="O84" s="20" t="str">
        <x:f>IF(M84="Selesai &amp; Terverifikasi","Ready",IF(M84="Terkendala","Not Ready",IF(AND(J84="Critical",L84&lt;=TODAY()+3,N84&lt;100),"At Risk","In Progress")))</x:f>
        <x:v>In Progress</x:v>
      </x:c>
      <x:c r="P84" s="20" t="str"/>
      <x:c r="Q84" s="20" t="str"/>
      <x:c r="R84" s="20" t="str"/>
      <x:c r="S84" s="20" t="str">
        <x:v>Initial Setup</x:v>
      </x:c>
      <x:c r="T84" s="32" t="n">
        <x:v>46229.833333333336</x:v>
      </x:c>
      <x:c r="U84" s="20" t="str"/>
      <x:c r="V84" s="20" t="str">
        <x:v>Belum Diverifikasi</x:v>
      </x:c>
      <x:c r="W84" s="20" t="str"/>
      <x:c r="X84" s="20" t="str"/>
      <x:c r="Y84" s="20" t="str">
        <x:v>Ya</x:v>
      </x:c>
      <x:c r="Z84" s="20" t="str">
        <x:v>A/B/C</x:v>
      </x:c>
      <x:c r="AA84" s="33" t="n">
        <x:f>IF(L84="","",L84-TODAY())</x:f>
        <x:v>12</x:v>
      </x:c>
      <x:c r="AB84" s="20" t="str">
        <x:f>IF(AND(L84&lt;&gt;"",L84&lt;TODAY(),M84&lt;&gt;"Selesai &amp; Terverifikasi",M84&lt;&gt;"Tidak Berlaku"),"OVERDUE","")</x:f>
      </x:c>
      <x:c r="AC84" s="20" t="n">
        <x:f>IF(J84="Critical",4,IF(J84="High",3,IF(J84="Medium",2,1)))</x:f>
        <x:v>3</x:v>
      </x:c>
      <x:c r="AD84" s="20" t="n">
        <x:f>N84*AC84</x:f>
        <x:v>0</x:v>
      </x:c>
    </x:row>
    <x:row r="85">
      <x:c r="A85" s="20" t="str">
        <x:v>TSK-084</x:v>
      </x:c>
      <x:c r="B85" s="20" t="str">
        <x:v>EVT-OLIM</x:v>
      </x:c>
      <x:c r="C85" s="20" t="str">
        <x:v>Gedung Pertemuan</x:v>
      </x:c>
      <x:c r="D85" s="20" t="str">
        <x:v>Sports Event</x:v>
      </x:c>
      <x:c r="E85" s="20" t="str">
        <x:v>Siapkan hadiah, medali dan awarding</x:v>
      </x:c>
      <x:c r="F85" s="20" t="str">
        <x:v>Daftar penerima, urutan dan material awarding siap.</x:v>
      </x:c>
      <x:c r="G85" s="20" t="str">
        <x:v>Shared</x:v>
      </x:c>
      <x:c r="H85" s="20" t="str">
        <x:v>Olahraga Bersama PI Group</x:v>
      </x:c>
      <x:c r="I85" s="20" t="str">
        <x:v>Murthala</x:v>
      </x:c>
      <x:c r="J85" s="20" t="str">
        <x:v>Critical</x:v>
      </x:c>
      <x:c r="K85" s="30" t="n">
        <x:v>46230</x:v>
      </x:c>
      <x:c r="L85" s="30" t="n">
        <x:v>46242</x:v>
      </x:c>
      <x:c r="M85" s="20" t="str">
        <x:v>Belum Dimulai</x:v>
      </x:c>
      <x:c r="N85" s="31" t="n">
        <x:v>0</x:v>
      </x:c>
      <x:c r="O85" s="20" t="str">
        <x:f>IF(M85="Selesai &amp; Terverifikasi","Ready",IF(M85="Terkendala","Not Ready",IF(AND(J85="Critical",L85&lt;=TODAY()+3,N85&lt;100),"At Risk","In Progress")))</x:f>
        <x:v>In Progress</x:v>
      </x:c>
      <x:c r="P85" s="20" t="str"/>
      <x:c r="Q85" s="20" t="str"/>
      <x:c r="R85" s="20" t="str"/>
      <x:c r="S85" s="20" t="str">
        <x:v>Initial Setup</x:v>
      </x:c>
      <x:c r="T85" s="32" t="n">
        <x:v>46229.833333333336</x:v>
      </x:c>
      <x:c r="U85" s="20" t="str"/>
      <x:c r="V85" s="20" t="str">
        <x:v>Belum Diverifikasi</x:v>
      </x:c>
      <x:c r="W85" s="20" t="str"/>
      <x:c r="X85" s="20" t="str"/>
      <x:c r="Y85" s="20" t="str">
        <x:v>Ya</x:v>
      </x:c>
      <x:c r="Z85" s="20" t="str">
        <x:v>A/B/C</x:v>
      </x:c>
      <x:c r="AA85" s="33" t="n">
        <x:f>IF(L85="","",L85-TODAY())</x:f>
        <x:v>13</x:v>
      </x:c>
      <x:c r="AB85" s="20" t="str">
        <x:f>IF(AND(L85&lt;&gt;"",L85&lt;TODAY(),M85&lt;&gt;"Selesai &amp; Terverifikasi",M85&lt;&gt;"Tidak Berlaku"),"OVERDUE","")</x:f>
      </x:c>
      <x:c r="AC85" s="20" t="n">
        <x:f>IF(J85="Critical",4,IF(J85="High",3,IF(J85="Medium",2,1)))</x:f>
        <x:v>4</x:v>
      </x:c>
      <x:c r="AD85" s="20" t="n">
        <x:f>N85*AC85</x:f>
        <x:v>0</x:v>
      </x:c>
    </x:row>
    <x:row r="86">
      <x:c r="A86" s="20" t="str">
        <x:v>TSK-085</x:v>
      </x:c>
      <x:c r="B86" s="20" t="str">
        <x:v>EVT-OLIM</x:v>
      </x:c>
      <x:c r="C86" s="20" t="str">
        <x:v>Gedung Pertemuan</x:v>
      </x:c>
      <x:c r="D86" s="20" t="str">
        <x:v>Sports Event</x:v>
      </x:c>
      <x:c r="E86" s="20" t="str">
        <x:v>Siapkan tim medis pertandingan</x:v>
      </x:c>
      <x:c r="F86" s="20" t="str">
        <x:v>First aid, petugas medis dan rujukan siap.</x:v>
      </x:c>
      <x:c r="G86" s="20" t="str">
        <x:v>Shared</x:v>
      </x:c>
      <x:c r="H86" s="20" t="str">
        <x:v>Olahraga Bersama PI Group</x:v>
      </x:c>
      <x:c r="I86" s="20" t="str">
        <x:v>Murthala</x:v>
      </x:c>
      <x:c r="J86" s="20" t="str">
        <x:v>Critical</x:v>
      </x:c>
      <x:c r="K86" s="30" t="n">
        <x:v>46230</x:v>
      </x:c>
      <x:c r="L86" s="30" t="n">
        <x:v>46242</x:v>
      </x:c>
      <x:c r="M86" s="20" t="str">
        <x:v>Belum Dimulai</x:v>
      </x:c>
      <x:c r="N86" s="31" t="n">
        <x:v>0</x:v>
      </x:c>
      <x:c r="O86" s="20" t="str">
        <x:f>IF(M86="Selesai &amp; Terverifikasi","Ready",IF(M86="Terkendala","Not Ready",IF(AND(J86="Critical",L86&lt;=TODAY()+3,N86&lt;100),"At Risk","In Progress")))</x:f>
        <x:v>In Progress</x:v>
      </x:c>
      <x:c r="P86" s="20" t="str"/>
      <x:c r="Q86" s="20" t="str"/>
      <x:c r="R86" s="20" t="str"/>
      <x:c r="S86" s="20" t="str">
        <x:v>Initial Setup</x:v>
      </x:c>
      <x:c r="T86" s="32" t="n">
        <x:v>46229.833333333336</x:v>
      </x:c>
      <x:c r="U86" s="20" t="str"/>
      <x:c r="V86" s="20" t="str">
        <x:v>Belum Diverifikasi</x:v>
      </x:c>
      <x:c r="W86" s="20" t="str"/>
      <x:c r="X86" s="20" t="str"/>
      <x:c r="Y86" s="20" t="str">
        <x:v>Ya</x:v>
      </x:c>
      <x:c r="Z86" s="20" t="str">
        <x:v>A/B/C</x:v>
      </x:c>
      <x:c r="AA86" s="33" t="n">
        <x:f>IF(L86="","",L86-TODAY())</x:f>
        <x:v>13</x:v>
      </x:c>
      <x:c r="AB86" s="20" t="str">
        <x:f>IF(AND(L86&lt;&gt;"",L86&lt;TODAY(),M86&lt;&gt;"Selesai &amp; Terverifikasi",M86&lt;&gt;"Tidak Berlaku"),"OVERDUE","")</x:f>
      </x:c>
      <x:c r="AC86" s="20" t="n">
        <x:f>IF(J86="Critical",4,IF(J86="High",3,IF(J86="Medium",2,1)))</x:f>
        <x:v>4</x:v>
      </x:c>
      <x:c r="AD86" s="20" t="n">
        <x:f>N86*AC86</x:f>
        <x:v>0</x:v>
      </x:c>
    </x:row>
    <x:row r="87">
      <x:c r="A87" s="20" t="str">
        <x:v>TSK-086</x:v>
      </x:c>
      <x:c r="B87" s="20" t="str">
        <x:v>EVT-OLIM</x:v>
      </x:c>
      <x:c r="C87" s="20" t="str">
        <x:v>Gedung Pertemuan</x:v>
      </x:c>
      <x:c r="D87" s="20" t="str">
        <x:v>Sports Event</x:v>
      </x:c>
      <x:c r="E87" s="20" t="str">
        <x:v>Susun rencana konversi venue</x:v>
      </x:c>
      <x:c r="F87" s="20" t="str">
        <x:v>Konversi Plenary–Badminton atau sebaliknya divalidasi untuk skenario aktif.</x:v>
      </x:c>
      <x:c r="G87" s="20" t="str">
        <x:v>Shared</x:v>
      </x:c>
      <x:c r="H87" s="20" t="str">
        <x:v>Olahraga Bersama PI Group</x:v>
      </x:c>
      <x:c r="I87" s="20" t="str">
        <x:v>Murthala</x:v>
      </x:c>
      <x:c r="J87" s="20" t="str">
        <x:v>Critical</x:v>
      </x:c>
      <x:c r="K87" s="30" t="n">
        <x:v>46230</x:v>
      </x:c>
      <x:c r="L87" s="30" t="n">
        <x:v>46237</x:v>
      </x:c>
      <x:c r="M87" s="20" t="str">
        <x:v>Belum Dimulai</x:v>
      </x:c>
      <x:c r="N87" s="31" t="n">
        <x:v>0</x:v>
      </x:c>
      <x:c r="O87" s="20" t="str">
        <x:f>IF(M87="Selesai &amp; Terverifikasi","Ready",IF(M87="Terkendala","Not Ready",IF(AND(J87="Critical",L87&lt;=TODAY()+3,N87&lt;100),"At Risk","In Progress")))</x:f>
        <x:v>In Progress</x:v>
      </x:c>
      <x:c r="P87" s="20" t="str">
        <x:v>Skenario belum final.</x:v>
      </x:c>
      <x:c r="Q87" s="20" t="str">
        <x:v>Lakukan time-and-motion plan bersama EO.</x:v>
      </x:c>
      <x:c r="R87" s="20" t="str"/>
      <x:c r="S87" s="20" t="str">
        <x:v>Initial Setup</x:v>
      </x:c>
      <x:c r="T87" s="32" t="n">
        <x:v>46229.833333333336</x:v>
      </x:c>
      <x:c r="U87" s="20" t="str"/>
      <x:c r="V87" s="20" t="str">
        <x:v>Belum Diverifikasi</x:v>
      </x:c>
      <x:c r="W87" s="20" t="str"/>
      <x:c r="X87" s="20" t="str"/>
      <x:c r="Y87" s="20" t="str">
        <x:v>Ya</x:v>
      </x:c>
      <x:c r="Z87" s="20" t="str">
        <x:v>A/B/C</x:v>
      </x:c>
      <x:c r="AA87" s="33" t="n">
        <x:f>IF(L87="","",L87-TODAY())</x:f>
        <x:v>8</x:v>
      </x:c>
      <x:c r="AB87" s="20" t="str">
        <x:f>IF(AND(L87&lt;&gt;"",L87&lt;TODAY(),M87&lt;&gt;"Selesai &amp; Terverifikasi",M87&lt;&gt;"Tidak Berlaku"),"OVERDUE","")</x:f>
      </x:c>
      <x:c r="AC87" s="20" t="n">
        <x:f>IF(J87="Critical",4,IF(J87="High",3,IF(J87="Medium",2,1)))</x:f>
        <x:v>4</x:v>
      </x:c>
      <x:c r="AD87" s="20" t="n">
        <x:f>N87*AC87</x:f>
        <x:v>0</x:v>
      </x:c>
    </x:row>
    <x:row r="88">
      <x:c r="A88" s="20" t="str">
        <x:v>TSK-087</x:v>
      </x:c>
      <x:c r="B88" s="20" t="str">
        <x:v>EVT-OLIM</x:v>
      </x:c>
      <x:c r="C88" s="20" t="str">
        <x:v>Gedung Pertemuan</x:v>
      </x:c>
      <x:c r="D88" s="20" t="str">
        <x:v>Sports Event</x:v>
      </x:c>
      <x:c r="E88" s="20" t="str">
        <x:v>Lakukan gladi pertandingan dan awarding</x:v>
      </x:c>
      <x:c r="F88" s="20" t="str">
        <x:v>Court, skor, MC, audio, exhibition dan awarding diuji.</x:v>
      </x:c>
      <x:c r="G88" s="20" t="str">
        <x:v>Shared</x:v>
      </x:c>
      <x:c r="H88" s="20" t="str">
        <x:v>Olahraga Bersama PI Group</x:v>
      </x:c>
      <x:c r="I88" s="20" t="str">
        <x:v>Murthala</x:v>
      </x:c>
      <x:c r="J88" s="20" t="str">
        <x:v>Critical</x:v>
      </x:c>
      <x:c r="K88" s="30" t="n">
        <x:v>46230</x:v>
      </x:c>
      <x:c r="L88" s="30" t="n">
        <x:v>46243</x:v>
      </x:c>
      <x:c r="M88" s="20" t="str">
        <x:v>Belum Dimulai</x:v>
      </x:c>
      <x:c r="N88" s="31" t="n">
        <x:v>0</x:v>
      </x:c>
      <x:c r="O88" s="20" t="str">
        <x:f>IF(M88="Selesai &amp; Terverifikasi","Ready",IF(M88="Terkendala","Not Ready",IF(AND(J88="Critical",L88&lt;=TODAY()+3,N88&lt;100),"At Risk","In Progress")))</x:f>
        <x:v>In Progress</x:v>
      </x:c>
      <x:c r="P88" s="20" t="str"/>
      <x:c r="Q88" s="20" t="str"/>
      <x:c r="R88" s="20" t="str"/>
      <x:c r="S88" s="20" t="str">
        <x:v>Initial Setup</x:v>
      </x:c>
      <x:c r="T88" s="32" t="n">
        <x:v>46229.833333333336</x:v>
      </x:c>
      <x:c r="U88" s="20" t="str"/>
      <x:c r="V88" s="20" t="str">
        <x:v>Belum Diverifikasi</x:v>
      </x:c>
      <x:c r="W88" s="20" t="str"/>
      <x:c r="X88" s="20" t="str"/>
      <x:c r="Y88" s="20" t="str">
        <x:v>Ya</x:v>
      </x:c>
      <x:c r="Z88" s="20" t="str">
        <x:v>A/B/C</x:v>
      </x:c>
      <x:c r="AA88" s="33" t="n">
        <x:f>IF(L88="","",L88-TODAY())</x:f>
        <x:v>14</x:v>
      </x:c>
      <x:c r="AB88" s="20" t="str">
        <x:f>IF(AND(L88&lt;&gt;"",L88&lt;TODAY(),M88&lt;&gt;"Selesai &amp; Terverifikasi",M88&lt;&gt;"Tidak Berlaku"),"OVERDUE","")</x:f>
      </x:c>
      <x:c r="AC88" s="20" t="n">
        <x:f>IF(J88="Critical",4,IF(J88="High",3,IF(J88="Medium",2,1)))</x:f>
        <x:v>4</x:v>
      </x:c>
      <x:c r="AD88" s="20" t="n">
        <x:f>N88*AC88</x:f>
        <x:v>0</x:v>
      </x:c>
    </x:row>
    <x:row r="89">
      <x:c r="A89" s="20" t="str">
        <x:v>TSK-088</x:v>
      </x:c>
      <x:c r="B89" s="20" t="str">
        <x:v>EVT-OLIM</x:v>
      </x:c>
      <x:c r="C89" s="20" t="str">
        <x:v>Gedung Pertemuan</x:v>
      </x:c>
      <x:c r="D89" s="20" t="str">
        <x:v>Sports Event</x:v>
      </x:c>
      <x:c r="E89" s="20" t="str">
        <x:v>Final inspection venue badminton</x:v>
      </x:c>
      <x:c r="F89" s="20" t="str">
        <x:v>Court, lighting, safety dan spectator area diverifikasi.</x:v>
      </x:c>
      <x:c r="G89" s="20" t="str">
        <x:v>Shared</x:v>
      </x:c>
      <x:c r="H89" s="20" t="str">
        <x:v>Olahraga Bersama PI Group</x:v>
      </x:c>
      <x:c r="I89" s="20" t="str">
        <x:v>Murthala</x:v>
      </x:c>
      <x:c r="J89" s="20" t="str">
        <x:v>Critical</x:v>
      </x:c>
      <x:c r="K89" s="30" t="n">
        <x:v>46230</x:v>
      </x:c>
      <x:c r="L89" s="30" t="n">
        <x:v>46243</x:v>
      </x:c>
      <x:c r="M89" s="20" t="str">
        <x:v>Belum Dimulai</x:v>
      </x:c>
      <x:c r="N89" s="31" t="n">
        <x:v>0</x:v>
      </x:c>
      <x:c r="O89" s="20" t="str">
        <x:f>IF(M89="Selesai &amp; Terverifikasi","Ready",IF(M89="Terkendala","Not Ready",IF(AND(J89="Critical",L89&lt;=TODAY()+3,N89&lt;100),"At Risk","In Progress")))</x:f>
        <x:v>In Progress</x:v>
      </x:c>
      <x:c r="P89" s="20" t="str"/>
      <x:c r="Q89" s="20" t="str"/>
      <x:c r="R89" s="20" t="str"/>
      <x:c r="S89" s="20" t="str">
        <x:v>Initial Setup</x:v>
      </x:c>
      <x:c r="T89" s="32" t="n">
        <x:v>46229.833333333336</x:v>
      </x:c>
      <x:c r="U89" s="20" t="str"/>
      <x:c r="V89" s="20" t="str">
        <x:v>Belum Diverifikasi</x:v>
      </x:c>
      <x:c r="W89" s="20" t="str"/>
      <x:c r="X89" s="20" t="str"/>
      <x:c r="Y89" s="20" t="str">
        <x:v>Ya</x:v>
      </x:c>
      <x:c r="Z89" s="20" t="str">
        <x:v>A/B/C</x:v>
      </x:c>
      <x:c r="AA89" s="33" t="n">
        <x:f>IF(L89="","",L89-TODAY())</x:f>
        <x:v>14</x:v>
      </x:c>
      <x:c r="AB89" s="20" t="str">
        <x:f>IF(AND(L89&lt;&gt;"",L89&lt;TODAY(),M89&lt;&gt;"Selesai &amp; Terverifikasi",M89&lt;&gt;"Tidak Berlaku"),"OVERDUE","")</x:f>
      </x:c>
      <x:c r="AC89" s="20" t="n">
        <x:f>IF(J89="Critical",4,IF(J89="High",3,IF(J89="Medium",2,1)))</x:f>
        <x:v>4</x:v>
      </x:c>
      <x:c r="AD89" s="20" t="n">
        <x:f>N89*AC89</x:f>
        <x:v>0</x:v>
      </x:c>
    </x:row>
    <x:row r="90">
      <x:c r="A90" s="20" t="str">
        <x:v>TSK-089</x:v>
      </x:c>
      <x:c r="B90" s="20" t="str">
        <x:v>EVT-ACCOM</x:v>
      </x:c>
      <x:c r="C90" s="20" t="str">
        <x:v>Rumah Komplek PIM &amp; Hotel</x:v>
      </x:c>
      <x:c r="D90" s="20" t="str">
        <x:v>Accommodation</x:v>
      </x:c>
      <x:c r="E90" s="20" t="str">
        <x:v>Validasi inventori kamar Rumah Komplek</x:v>
      </x:c>
      <x:c r="F90" s="20" t="str">
        <x:v>Seluruh kamar, tipe kasur, kondisi dan readiness diperiksa.</x:v>
      </x:c>
      <x:c r="G90" s="20" t="str">
        <x:v>PIM</x:v>
      </x:c>
      <x:c r="H90" s="20" t="str">
        <x:v>Akomodasi</x:v>
      </x:c>
      <x:c r="I90" s="20" t="str"/>
      <x:c r="J90" s="20" t="str">
        <x:v>Critical</x:v>
      </x:c>
      <x:c r="K90" s="30" t="n">
        <x:v>46230</x:v>
      </x:c>
      <x:c r="L90" s="30" t="n">
        <x:v>46234</x:v>
      </x:c>
      <x:c r="M90" s="20" t="str">
        <x:v>Sedang Berjalan</x:v>
      </x:c>
      <x:c r="N90" s="31" t="n">
        <x:v>80</x:v>
      </x:c>
      <x:c r="O90" s="20" t="str">
        <x:f>IF(M90="Selesai &amp; Terverifikasi","Ready",IF(M90="Terkendala","Not Ready",IF(AND(J90="Critical",L90&lt;=TODAY()+3,N90&lt;100),"At Risk","In Progress")))</x:f>
        <x:v>In Progress</x:v>
      </x:c>
      <x:c r="P90" s="20" t="str">
        <x:v>Data tersedia; verifikasi lapangan belum selesai.</x:v>
      </x:c>
      <x:c r="Q90" s="20" t="str">
        <x:v>Lakukan inspeksi fisik dan update kondisi.</x:v>
      </x:c>
      <x:c r="R90" s="20" t="str"/>
      <x:c r="S90" s="20" t="str">
        <x:v>Initial Setup</x:v>
      </x:c>
      <x:c r="T90" s="32" t="n">
        <x:v>46229.833333333336</x:v>
      </x:c>
      <x:c r="U90" s="20" t="str"/>
      <x:c r="V90" s="20" t="str">
        <x:v>Belum Diverifikasi</x:v>
      </x:c>
      <x:c r="W90" s="20" t="str"/>
      <x:c r="X90" s="20" t="str"/>
      <x:c r="Y90" s="20" t="str">
        <x:v>Ya</x:v>
      </x:c>
      <x:c r="Z90" s="20" t="str">
        <x:v>Semua</x:v>
      </x:c>
      <x:c r="AA90" s="33" t="n">
        <x:f>IF(L90="","",L90-TODAY())</x:f>
        <x:v>5</x:v>
      </x:c>
      <x:c r="AB90" s="20" t="str">
        <x:f>IF(AND(L90&lt;&gt;"",L90&lt;TODAY(),M90&lt;&gt;"Selesai &amp; Terverifikasi",M90&lt;&gt;"Tidak Berlaku"),"OVERDUE","")</x:f>
      </x:c>
      <x:c r="AC90" s="20" t="n">
        <x:f>IF(J90="Critical",4,IF(J90="High",3,IF(J90="Medium",2,1)))</x:f>
        <x:v>4</x:v>
      </x:c>
      <x:c r="AD90" s="20" t="n">
        <x:f>N90*AC90</x:f>
        <x:v>320</x:v>
      </x:c>
    </x:row>
    <x:row r="91">
      <x:c r="A91" s="20" t="str">
        <x:v>TSK-090</x:v>
      </x:c>
      <x:c r="B91" s="20" t="str">
        <x:v>EVT-ACCOM</x:v>
      </x:c>
      <x:c r="C91" s="20" t="str">
        <x:v>Rumah Komplek PIM &amp; Hotel</x:v>
      </x:c>
      <x:c r="D91" s="20" t="str">
        <x:v>Accommodation</x:v>
      </x:c>
      <x:c r="E91" s="20" t="str">
        <x:v>Selesaikan furnishing kamar yang membutuhkan tindakan</x:v>
      </x:c>
      <x:c r="F91" s="20" t="str">
        <x:v>18 kamar yang belum ready selesai diisi dan diperiksa.</x:v>
      </x:c>
      <x:c r="G91" s="20" t="str">
        <x:v>PIM</x:v>
      </x:c>
      <x:c r="H91" s="20" t="str">
        <x:v>Akomodasi</x:v>
      </x:c>
      <x:c r="I91" s="20" t="str"/>
      <x:c r="J91" s="20" t="str">
        <x:v>Critical</x:v>
      </x:c>
      <x:c r="K91" s="30" t="n">
        <x:v>46230</x:v>
      </x:c>
      <x:c r="L91" s="30" t="n">
        <x:v>46239</x:v>
      </x:c>
      <x:c r="M91" s="20" t="str">
        <x:v>Belum Dimulai</x:v>
      </x:c>
      <x:c r="N91" s="31" t="n">
        <x:v>0</x:v>
      </x:c>
      <x:c r="O91" s="20" t="str">
        <x:f>IF(M91="Selesai &amp; Terverifikasi","Ready",IF(M91="Terkendala","Not Ready",IF(AND(J91="Critical",L91&lt;=TODAY()+3,N91&lt;100),"At Risk","In Progress")))</x:f>
        <x:v>In Progress</x:v>
      </x:c>
      <x:c r="P91" s="20" t="str">
        <x:v>18 kamar memerlukan furnishing.</x:v>
      </x:c>
      <x:c r="Q91" s="20" t="str">
        <x:v>Tetapkan PIC, material dan jadwal penyelesaian.</x:v>
      </x:c>
      <x:c r="R91" s="20" t="str"/>
      <x:c r="S91" s="20" t="str">
        <x:v>Initial Setup</x:v>
      </x:c>
      <x:c r="T91" s="32" t="n">
        <x:v>46229.833333333336</x:v>
      </x:c>
      <x:c r="U91" s="20" t="str"/>
      <x:c r="V91" s="20" t="str">
        <x:v>Belum Diverifikasi</x:v>
      </x:c>
      <x:c r="W91" s="20" t="str"/>
      <x:c r="X91" s="20" t="str"/>
      <x:c r="Y91" s="20" t="str">
        <x:v>Ya</x:v>
      </x:c>
      <x:c r="Z91" s="20" t="str">
        <x:v>Semua</x:v>
      </x:c>
      <x:c r="AA91" s="33" t="n">
        <x:f>IF(L91="","",L91-TODAY())</x:f>
        <x:v>10</x:v>
      </x:c>
      <x:c r="AB91" s="20" t="str">
        <x:f>IF(AND(L91&lt;&gt;"",L91&lt;TODAY(),M91&lt;&gt;"Selesai &amp; Terverifikasi",M91&lt;&gt;"Tidak Berlaku"),"OVERDUE","")</x:f>
      </x:c>
      <x:c r="AC91" s="20" t="n">
        <x:f>IF(J91="Critical",4,IF(J91="High",3,IF(J91="Medium",2,1)))</x:f>
        <x:v>4</x:v>
      </x:c>
      <x:c r="AD91" s="20" t="n">
        <x:f>N91*AC91</x:f>
        <x:v>0</x:v>
      </x:c>
    </x:row>
    <x:row r="92">
      <x:c r="A92" s="20" t="str">
        <x:v>TSK-091</x:v>
      </x:c>
      <x:c r="B92" s="20" t="str">
        <x:v>EVT-ACCOM</x:v>
      </x:c>
      <x:c r="C92" s="20" t="str">
        <x:v>Rumah Komplek PIM &amp; Hotel</x:v>
      </x:c>
      <x:c r="D92" s="20" t="str">
        <x:v>Accommodation</x:v>
      </x:c>
      <x:c r="E92" s="20" t="str">
        <x:v>Konfirmasi blocking hotel</x:v>
      </x:c>
      <x:c r="F92" s="20" t="str">
        <x:v>Jumlah kamar, tanggal, tipe, harga dan kebijakan pembatalan dikonfirmasi.</x:v>
      </x:c>
      <x:c r="G92" s="20" t="str">
        <x:v>PIM</x:v>
      </x:c>
      <x:c r="H92" s="20" t="str">
        <x:v>Akomodasi</x:v>
      </x:c>
      <x:c r="I92" s="20" t="str"/>
      <x:c r="J92" s="20" t="str">
        <x:v>Critical</x:v>
      </x:c>
      <x:c r="K92" s="30" t="n">
        <x:v>46230</x:v>
      </x:c>
      <x:c r="L92" s="30" t="n">
        <x:v>46233</x:v>
      </x:c>
      <x:c r="M92" s="20" t="str">
        <x:v>Belum Dimulai</x:v>
      </x:c>
      <x:c r="N92" s="31" t="n">
        <x:v>0</x:v>
      </x:c>
      <x:c r="O92" s="20" t="str">
        <x:f>IF(M92="Selesai &amp; Terverifikasi","Ready",IF(M92="Terkendala","Not Ready",IF(AND(J92="Critical",L92&lt;=TODAY()+3,N92&lt;100),"At Risk","In Progress")))</x:f>
        <x:v>In Progress</x:v>
      </x:c>
      <x:c r="P92" s="20" t="str">
        <x:v>Blocking hotel belum terkonfirmasi.</x:v>
      </x:c>
      <x:c r="Q92" s="20" t="str">
        <x:v>Hubungi hotel dan dokumentasikan konfirmasi.</x:v>
      </x:c>
      <x:c r="R92" s="20" t="str"/>
      <x:c r="S92" s="20" t="str">
        <x:v>Initial Setup</x:v>
      </x:c>
      <x:c r="T92" s="32" t="n">
        <x:v>46229.833333333336</x:v>
      </x:c>
      <x:c r="U92" s="20" t="str"/>
      <x:c r="V92" s="20" t="str">
        <x:v>Belum Diverifikasi</x:v>
      </x:c>
      <x:c r="W92" s="20" t="str"/>
      <x:c r="X92" s="20" t="str"/>
      <x:c r="Y92" s="20" t="str">
        <x:v>Ya</x:v>
      </x:c>
      <x:c r="Z92" s="20" t="str">
        <x:v>Semua</x:v>
      </x:c>
      <x:c r="AA92" s="33" t="n">
        <x:f>IF(L92="","",L92-TODAY())</x:f>
        <x:v>4</x:v>
      </x:c>
      <x:c r="AB92" s="20" t="str">
        <x:f>IF(AND(L92&lt;&gt;"",L92&lt;TODAY(),M92&lt;&gt;"Selesai &amp; Terverifikasi",M92&lt;&gt;"Tidak Berlaku"),"OVERDUE","")</x:f>
      </x:c>
      <x:c r="AC92" s="20" t="n">
        <x:f>IF(J92="Critical",4,IF(J92="High",3,IF(J92="Medium",2,1)))</x:f>
        <x:v>4</x:v>
      </x:c>
      <x:c r="AD92" s="20" t="n">
        <x:f>N92*AC92</x:f>
        <x:v>0</x:v>
      </x:c>
    </x:row>
    <x:row r="93">
      <x:c r="A93" s="20" t="str">
        <x:v>TSK-092</x:v>
      </x:c>
      <x:c r="B93" s="20" t="str">
        <x:v>EVT-ACCOM</x:v>
      </x:c>
      <x:c r="C93" s="20" t="str">
        <x:v>Rumah Komplek PIM &amp; Hotel</x:v>
      </x:c>
      <x:c r="D93" s="20" t="str">
        <x:v>Accommodation</x:v>
      </x:c>
      <x:c r="E93" s="20" t="str">
        <x:v>Finalisasi rooming list Direksi</x:v>
      </x:c>
      <x:c r="F93" s="20" t="str">
        <x:v>Penempatan Direksi sesuai preferensi dan protokol.</x:v>
      </x:c>
      <x:c r="G93" s="20" t="str">
        <x:v>PIM</x:v>
      </x:c>
      <x:c r="H93" s="20" t="str">
        <x:v>Akomodasi</x:v>
      </x:c>
      <x:c r="I93" s="20" t="str"/>
      <x:c r="J93" s="20" t="str">
        <x:v>Critical</x:v>
      </x:c>
      <x:c r="K93" s="30" t="n">
        <x:v>46230</x:v>
      </x:c>
      <x:c r="L93" s="30" t="n">
        <x:v>46237</x:v>
      </x:c>
      <x:c r="M93" s="20" t="str">
        <x:v>Sedang Berjalan</x:v>
      </x:c>
      <x:c r="N93" s="31" t="n">
        <x:v>70</x:v>
      </x:c>
      <x:c r="O93" s="20" t="str">
        <x:f>IF(M93="Selesai &amp; Terverifikasi","Ready",IF(M93="Terkendala","Not Ready",IF(AND(J93="Critical",L93&lt;=TODAY()+3,N93&lt;100),"At Risk","In Progress")))</x:f>
        <x:v>In Progress</x:v>
      </x:c>
      <x:c r="P93" s="20" t="str"/>
      <x:c r="Q93" s="20" t="str">
        <x:v>Konfirmasi perubahan daftar Direksi.</x:v>
      </x:c>
      <x:c r="R93" s="20" t="str"/>
      <x:c r="S93" s="20" t="str">
        <x:v>Initial Setup</x:v>
      </x:c>
      <x:c r="T93" s="32" t="n">
        <x:v>46229.833333333336</x:v>
      </x:c>
      <x:c r="U93" s="20" t="str"/>
      <x:c r="V93" s="20" t="str">
        <x:v>Belum Diverifikasi</x:v>
      </x:c>
      <x:c r="W93" s="20" t="str"/>
      <x:c r="X93" s="20" t="str"/>
      <x:c r="Y93" s="20" t="str">
        <x:v>Ya</x:v>
      </x:c>
      <x:c r="Z93" s="20" t="str">
        <x:v>Semua</x:v>
      </x:c>
      <x:c r="AA93" s="33" t="n">
        <x:f>IF(L93="","",L93-TODAY())</x:f>
        <x:v>8</x:v>
      </x:c>
      <x:c r="AB93" s="20" t="str">
        <x:f>IF(AND(L93&lt;&gt;"",L93&lt;TODAY(),M93&lt;&gt;"Selesai &amp; Terverifikasi",M93&lt;&gt;"Tidak Berlaku"),"OVERDUE","")</x:f>
      </x:c>
      <x:c r="AC93" s="20" t="n">
        <x:f>IF(J93="Critical",4,IF(J93="High",3,IF(J93="Medium",2,1)))</x:f>
        <x:v>4</x:v>
      </x:c>
      <x:c r="AD93" s="20" t="n">
        <x:f>N93*AC93</x:f>
        <x:v>280</x:v>
      </x:c>
    </x:row>
    <x:row r="94">
      <x:c r="A94" s="20" t="str">
        <x:v>TSK-093</x:v>
      </x:c>
      <x:c r="B94" s="20" t="str">
        <x:v>EVT-ACCOM</x:v>
      </x:c>
      <x:c r="C94" s="20" t="str">
        <x:v>Rumah Komplek PIM &amp; Hotel</x:v>
      </x:c>
      <x:c r="D94" s="20" t="str">
        <x:v>Accommodation</x:v>
      </x:c>
      <x:c r="E94" s="20" t="str">
        <x:v>Finalisasi rooming list Komisaris dan VIP</x:v>
      </x:c>
      <x:c r="F94" s="20" t="str">
        <x:v>Penempatan hotel/rumah dan kebutuhan khusus tervalidasi.</x:v>
      </x:c>
      <x:c r="G94" s="20" t="str">
        <x:v>PIM</x:v>
      </x:c>
      <x:c r="H94" s="20" t="str">
        <x:v>Akomodasi</x:v>
      </x:c>
      <x:c r="I94" s="20" t="str"/>
      <x:c r="J94" s="20" t="str">
        <x:v>Critical</x:v>
      </x:c>
      <x:c r="K94" s="30" t="n">
        <x:v>46230</x:v>
      </x:c>
      <x:c r="L94" s="30" t="n">
        <x:v>46237</x:v>
      </x:c>
      <x:c r="M94" s="20" t="str">
        <x:v>Sedang Berjalan</x:v>
      </x:c>
      <x:c r="N94" s="31" t="n">
        <x:v>60</x:v>
      </x:c>
      <x:c r="O94" s="20" t="str">
        <x:f>IF(M94="Selesai &amp; Terverifikasi","Ready",IF(M94="Terkendala","Not Ready",IF(AND(J94="Critical",L94&lt;=TODAY()+3,N94&lt;100),"At Risk","In Progress")))</x:f>
        <x:v>In Progress</x:v>
      </x:c>
      <x:c r="P94" s="20" t="str"/>
      <x:c r="Q94" s="20" t="str">
        <x:v>Konfirmasi kehadiran dan preferensi.</x:v>
      </x:c>
      <x:c r="R94" s="20" t="str"/>
      <x:c r="S94" s="20" t="str">
        <x:v>Initial Setup</x:v>
      </x:c>
      <x:c r="T94" s="32" t="n">
        <x:v>46229.833333333336</x:v>
      </x:c>
      <x:c r="U94" s="20" t="str"/>
      <x:c r="V94" s="20" t="str">
        <x:v>Belum Diverifikasi</x:v>
      </x:c>
      <x:c r="W94" s="20" t="str"/>
      <x:c r="X94" s="20" t="str"/>
      <x:c r="Y94" s="20" t="str">
        <x:v>Ya</x:v>
      </x:c>
      <x:c r="Z94" s="20" t="str">
        <x:v>Semua</x:v>
      </x:c>
      <x:c r="AA94" s="33" t="n">
        <x:f>IF(L94="","",L94-TODAY())</x:f>
        <x:v>8</x:v>
      </x:c>
      <x:c r="AB94" s="20" t="str">
        <x:f>IF(AND(L94&lt;&gt;"",L94&lt;TODAY(),M94&lt;&gt;"Selesai &amp; Terverifikasi",M94&lt;&gt;"Tidak Berlaku"),"OVERDUE","")</x:f>
      </x:c>
      <x:c r="AC94" s="20" t="n">
        <x:f>IF(J94="Critical",4,IF(J94="High",3,IF(J94="Medium",2,1)))</x:f>
        <x:v>4</x:v>
      </x:c>
      <x:c r="AD94" s="20" t="n">
        <x:f>N94*AC94</x:f>
        <x:v>240</x:v>
      </x:c>
    </x:row>
    <x:row r="95">
      <x:c r="A95" s="20" t="str">
        <x:v>TSK-094</x:v>
      </x:c>
      <x:c r="B95" s="20" t="str">
        <x:v>EVT-ACCOM</x:v>
      </x:c>
      <x:c r="C95" s="20" t="str">
        <x:v>Rumah Komplek PIM &amp; Hotel</x:v>
      </x:c>
      <x:c r="D95" s="20" t="str">
        <x:v>Accommodation</x:v>
      </x:c>
      <x:c r="E95" s="20" t="str">
        <x:v>Siapkan linen, toiletries dan amenities</x:v>
      </x:c>
      <x:c r="F95" s="20" t="str">
        <x:v>Kamar memiliki kebutuhan dasar dan VIP amenities sesuai standar.</x:v>
      </x:c>
      <x:c r="G95" s="20" t="str">
        <x:v>PIM</x:v>
      </x:c>
      <x:c r="H95" s="20" t="str">
        <x:v>Akomodasi</x:v>
      </x:c>
      <x:c r="I95" s="20" t="str"/>
      <x:c r="J95" s="20" t="str">
        <x:v>High</x:v>
      </x:c>
      <x:c r="K95" s="30" t="n">
        <x:v>46230</x:v>
      </x:c>
      <x:c r="L95" s="30" t="n">
        <x:v>46241</x:v>
      </x:c>
      <x:c r="M95" s="20" t="str">
        <x:v>Belum Dimulai</x:v>
      </x:c>
      <x:c r="N95" s="31" t="n">
        <x:v>0</x:v>
      </x:c>
      <x:c r="O95" s="20" t="str">
        <x:f>IF(M95="Selesai &amp; Terverifikasi","Ready",IF(M95="Terkendala","Not Ready",IF(AND(J95="Critical",L95&lt;=TODAY()+3,N95&lt;100),"At Risk","In Progress")))</x:f>
        <x:v>In Progress</x:v>
      </x:c>
      <x:c r="P95" s="20" t="str"/>
      <x:c r="Q95" s="20" t="str"/>
      <x:c r="R95" s="20" t="str"/>
      <x:c r="S95" s="20" t="str">
        <x:v>Initial Setup</x:v>
      </x:c>
      <x:c r="T95" s="32" t="n">
        <x:v>46229.833333333336</x:v>
      </x:c>
      <x:c r="U95" s="20" t="str"/>
      <x:c r="V95" s="20" t="str">
        <x:v>Belum Diverifikasi</x:v>
      </x:c>
      <x:c r="W95" s="20" t="str"/>
      <x:c r="X95" s="20" t="str"/>
      <x:c r="Y95" s="20" t="str">
        <x:v>Ya</x:v>
      </x:c>
      <x:c r="Z95" s="20" t="str">
        <x:v>Semua</x:v>
      </x:c>
      <x:c r="AA95" s="33" t="n">
        <x:f>IF(L95="","",L95-TODAY())</x:f>
        <x:v>12</x:v>
      </x:c>
      <x:c r="AB95" s="20" t="str">
        <x:f>IF(AND(L95&lt;&gt;"",L95&lt;TODAY(),M95&lt;&gt;"Selesai &amp; Terverifikasi",M95&lt;&gt;"Tidak Berlaku"),"OVERDUE","")</x:f>
      </x:c>
      <x:c r="AC95" s="20" t="n">
        <x:f>IF(J95="Critical",4,IF(J95="High",3,IF(J95="Medium",2,1)))</x:f>
        <x:v>3</x:v>
      </x:c>
      <x:c r="AD95" s="20" t="n">
        <x:f>N95*AC95</x:f>
        <x:v>0</x:v>
      </x:c>
    </x:row>
    <x:row r="96">
      <x:c r="A96" s="20" t="str">
        <x:v>TSK-095</x:v>
      </x:c>
      <x:c r="B96" s="20" t="str">
        <x:v>EVT-ACCOM</x:v>
      </x:c>
      <x:c r="C96" s="20" t="str">
        <x:v>Rumah Komplek PIM &amp; Hotel</x:v>
      </x:c>
      <x:c r="D96" s="20" t="str">
        <x:v>Accommodation</x:v>
      </x:c>
      <x:c r="E96" s="20" t="str">
        <x:v>Siapkan housekeeping dan room inspection roster</x:v>
      </x:c>
      <x:c r="F96" s="20" t="str">
        <x:v>Petugas, jadwal pembersihan dan inspeksi tersedia.</x:v>
      </x:c>
      <x:c r="G96" s="20" t="str">
        <x:v>PIM</x:v>
      </x:c>
      <x:c r="H96" s="20" t="str">
        <x:v>Akomodasi</x:v>
      </x:c>
      <x:c r="I96" s="20" t="str"/>
      <x:c r="J96" s="20" t="str">
        <x:v>High</x:v>
      </x:c>
      <x:c r="K96" s="30" t="n">
        <x:v>46230</x:v>
      </x:c>
      <x:c r="L96" s="30" t="n">
        <x:v>46241</x:v>
      </x:c>
      <x:c r="M96" s="20" t="str">
        <x:v>Belum Dimulai</x:v>
      </x:c>
      <x:c r="N96" s="31" t="n">
        <x:v>0</x:v>
      </x:c>
      <x:c r="O96" s="20" t="str">
        <x:f>IF(M96="Selesai &amp; Terverifikasi","Ready",IF(M96="Terkendala","Not Ready",IF(AND(J96="Critical",L96&lt;=TODAY()+3,N96&lt;100),"At Risk","In Progress")))</x:f>
        <x:v>In Progress</x:v>
      </x:c>
      <x:c r="P96" s="20" t="str"/>
      <x:c r="Q96" s="20" t="str"/>
      <x:c r="R96" s="20" t="str"/>
      <x:c r="S96" s="20" t="str">
        <x:v>Initial Setup</x:v>
      </x:c>
      <x:c r="T96" s="32" t="n">
        <x:v>46229.833333333336</x:v>
      </x:c>
      <x:c r="U96" s="20" t="str"/>
      <x:c r="V96" s="20" t="str">
        <x:v>Belum Diverifikasi</x:v>
      </x:c>
      <x:c r="W96" s="20" t="str"/>
      <x:c r="X96" s="20" t="str"/>
      <x:c r="Y96" s="20" t="str">
        <x:v>Ya</x:v>
      </x:c>
      <x:c r="Z96" s="20" t="str">
        <x:v>Semua</x:v>
      </x:c>
      <x:c r="AA96" s="33" t="n">
        <x:f>IF(L96="","",L96-TODAY())</x:f>
        <x:v>12</x:v>
      </x:c>
      <x:c r="AB96" s="20" t="str">
        <x:f>IF(AND(L96&lt;&gt;"",L96&lt;TODAY(),M96&lt;&gt;"Selesai &amp; Terverifikasi",M96&lt;&gt;"Tidak Berlaku"),"OVERDUE","")</x:f>
      </x:c>
      <x:c r="AC96" s="20" t="n">
        <x:f>IF(J96="Critical",4,IF(J96="High",3,IF(J96="Medium",2,1)))</x:f>
        <x:v>3</x:v>
      </x:c>
      <x:c r="AD96" s="20" t="n">
        <x:f>N96*AC96</x:f>
        <x:v>0</x:v>
      </x:c>
    </x:row>
    <x:row r="97">
      <x:c r="A97" s="20" t="str">
        <x:v>TSK-096</x:v>
      </x:c>
      <x:c r="B97" s="20" t="str">
        <x:v>EVT-ACCOM</x:v>
      </x:c>
      <x:c r="C97" s="20" t="str">
        <x:v>Rumah Komplek PIM &amp; Hotel</x:v>
      </x:c>
      <x:c r="D97" s="20" t="str">
        <x:v>Accommodation</x:v>
      </x:c>
      <x:c r="E97" s="20" t="str">
        <x:v>Siapkan room key pack dan welcome information</x:v>
      </x:c>
      <x:c r="F97" s="20" t="str">
        <x:v>Kunci, label, peta, kontak LO dan jadwal tersedia.</x:v>
      </x:c>
      <x:c r="G97" s="20" t="str">
        <x:v>PIM</x:v>
      </x:c>
      <x:c r="H97" s="20" t="str">
        <x:v>Akomodasi</x:v>
      </x:c>
      <x:c r="I97" s="20" t="str"/>
      <x:c r="J97" s="20" t="str">
        <x:v>High</x:v>
      </x:c>
      <x:c r="K97" s="30" t="n">
        <x:v>46230</x:v>
      </x:c>
      <x:c r="L97" s="30" t="n">
        <x:v>46242</x:v>
      </x:c>
      <x:c r="M97" s="20" t="str">
        <x:v>Belum Dimulai</x:v>
      </x:c>
      <x:c r="N97" s="31" t="n">
        <x:v>0</x:v>
      </x:c>
      <x:c r="O97" s="20" t="str">
        <x:f>IF(M97="Selesai &amp; Terverifikasi","Ready",IF(M97="Terkendala","Not Ready",IF(AND(J97="Critical",L97&lt;=TODAY()+3,N97&lt;100),"At Risk","In Progress")))</x:f>
        <x:v>In Progress</x:v>
      </x:c>
      <x:c r="P97" s="20" t="str"/>
      <x:c r="Q97" s="20" t="str"/>
      <x:c r="R97" s="20" t="str"/>
      <x:c r="S97" s="20" t="str">
        <x:v>Initial Setup</x:v>
      </x:c>
      <x:c r="T97" s="32" t="n">
        <x:v>46229.833333333336</x:v>
      </x:c>
      <x:c r="U97" s="20" t="str"/>
      <x:c r="V97" s="20" t="str">
        <x:v>Belum Diverifikasi</x:v>
      </x:c>
      <x:c r="W97" s="20" t="str"/>
      <x:c r="X97" s="20" t="str"/>
      <x:c r="Y97" s="20" t="str">
        <x:v>Ya</x:v>
      </x:c>
      <x:c r="Z97" s="20" t="str">
        <x:v>Semua</x:v>
      </x:c>
      <x:c r="AA97" s="33" t="n">
        <x:f>IF(L97="","",L97-TODAY())</x:f>
        <x:v>13</x:v>
      </x:c>
      <x:c r="AB97" s="20" t="str">
        <x:f>IF(AND(L97&lt;&gt;"",L97&lt;TODAY(),M97&lt;&gt;"Selesai &amp; Terverifikasi",M97&lt;&gt;"Tidak Berlaku"),"OVERDUE","")</x:f>
      </x:c>
      <x:c r="AC97" s="20" t="n">
        <x:f>IF(J97="Critical",4,IF(J97="High",3,IF(J97="Medium",2,1)))</x:f>
        <x:v>3</x:v>
      </x:c>
      <x:c r="AD97" s="20" t="n">
        <x:f>N97*AC97</x:f>
        <x:v>0</x:v>
      </x:c>
    </x:row>
    <x:row r="98">
      <x:c r="A98" s="20" t="str">
        <x:v>TSK-097</x:v>
      </x:c>
      <x:c r="B98" s="20" t="str">
        <x:v>EVT-ACCOM</x:v>
      </x:c>
      <x:c r="C98" s="20" t="str">
        <x:v>Rumah Komplek PIM &amp; Hotel</x:v>
      </x:c>
      <x:c r="D98" s="20" t="str">
        <x:v>Accommodation</x:v>
      </x:c>
      <x:c r="E98" s="20" t="str">
        <x:v>Siapkan meja check-in/check-out</x:v>
      </x:c>
      <x:c r="F98" s="20" t="str">
        <x:v>Petugas, daftar tamu dan alur bagasi tersedia.</x:v>
      </x:c>
      <x:c r="G98" s="20" t="str">
        <x:v>PIM</x:v>
      </x:c>
      <x:c r="H98" s="20" t="str">
        <x:v>Akomodasi</x:v>
      </x:c>
      <x:c r="I98" s="20" t="str"/>
      <x:c r="J98" s="20" t="str">
        <x:v>High</x:v>
      </x:c>
      <x:c r="K98" s="30" t="n">
        <x:v>46230</x:v>
      </x:c>
      <x:c r="L98" s="30" t="n">
        <x:v>46242</x:v>
      </x:c>
      <x:c r="M98" s="20" t="str">
        <x:v>Belum Dimulai</x:v>
      </x:c>
      <x:c r="N98" s="31" t="n">
        <x:v>0</x:v>
      </x:c>
      <x:c r="O98" s="20" t="str">
        <x:f>IF(M98="Selesai &amp; Terverifikasi","Ready",IF(M98="Terkendala","Not Ready",IF(AND(J98="Critical",L98&lt;=TODAY()+3,N98&lt;100),"At Risk","In Progress")))</x:f>
        <x:v>In Progress</x:v>
      </x:c>
      <x:c r="P98" s="20" t="str"/>
      <x:c r="Q98" s="20" t="str"/>
      <x:c r="R98" s="20" t="str"/>
      <x:c r="S98" s="20" t="str">
        <x:v>Initial Setup</x:v>
      </x:c>
      <x:c r="T98" s="32" t="n">
        <x:v>46229.833333333336</x:v>
      </x:c>
      <x:c r="U98" s="20" t="str"/>
      <x:c r="V98" s="20" t="str">
        <x:v>Belum Diverifikasi</x:v>
      </x:c>
      <x:c r="W98" s="20" t="str"/>
      <x:c r="X98" s="20" t="str"/>
      <x:c r="Y98" s="20" t="str">
        <x:v>Ya</x:v>
      </x:c>
      <x:c r="Z98" s="20" t="str">
        <x:v>Semua</x:v>
      </x:c>
      <x:c r="AA98" s="33" t="n">
        <x:f>IF(L98="","",L98-TODAY())</x:f>
        <x:v>13</x:v>
      </x:c>
      <x:c r="AB98" s="20" t="str">
        <x:f>IF(AND(L98&lt;&gt;"",L98&lt;TODAY(),M98&lt;&gt;"Selesai &amp; Terverifikasi",M98&lt;&gt;"Tidak Berlaku"),"OVERDUE","")</x:f>
      </x:c>
      <x:c r="AC98" s="20" t="n">
        <x:f>IF(J98="Critical",4,IF(J98="High",3,IF(J98="Medium",2,1)))</x:f>
        <x:v>3</x:v>
      </x:c>
      <x:c r="AD98" s="20" t="n">
        <x:f>N98*AC98</x:f>
        <x:v>0</x:v>
      </x:c>
    </x:row>
    <x:row r="99">
      <x:c r="A99" s="20" t="str">
        <x:v>TSK-098</x:v>
      </x:c>
      <x:c r="B99" s="20" t="str">
        <x:v>EVT-ACCOM</x:v>
      </x:c>
      <x:c r="C99" s="20" t="str">
        <x:v>Rumah Komplek PIM &amp; Hotel</x:v>
      </x:c>
      <x:c r="D99" s="20" t="str">
        <x:v>Accommodation</x:v>
      </x:c>
      <x:c r="E99" s="20" t="str">
        <x:v>Siapkan kamar cadangan dan transit room</x:v>
      </x:c>
      <x:c r="F99" s="20" t="str">
        <x:v>Kamar cadangan ditetapkan dan siap digunakan.</x:v>
      </x:c>
      <x:c r="G99" s="20" t="str">
        <x:v>PIM</x:v>
      </x:c>
      <x:c r="H99" s="20" t="str">
        <x:v>Akomodasi</x:v>
      </x:c>
      <x:c r="I99" s="20" t="str"/>
      <x:c r="J99" s="20" t="str">
        <x:v>High</x:v>
      </x:c>
      <x:c r="K99" s="30" t="n">
        <x:v>46230</x:v>
      </x:c>
      <x:c r="L99" s="30" t="n">
        <x:v>46241</x:v>
      </x:c>
      <x:c r="M99" s="20" t="str">
        <x:v>Belum Dimulai</x:v>
      </x:c>
      <x:c r="N99" s="31" t="n">
        <x:v>0</x:v>
      </x:c>
      <x:c r="O99" s="20" t="str">
        <x:f>IF(M99="Selesai &amp; Terverifikasi","Ready",IF(M99="Terkendala","Not Ready",IF(AND(J99="Critical",L99&lt;=TODAY()+3,N99&lt;100),"At Risk","In Progress")))</x:f>
        <x:v>In Progress</x:v>
      </x:c>
      <x:c r="P99" s="20" t="str"/>
      <x:c r="Q99" s="20" t="str"/>
      <x:c r="R99" s="20" t="str"/>
      <x:c r="S99" s="20" t="str">
        <x:v>Initial Setup</x:v>
      </x:c>
      <x:c r="T99" s="32" t="n">
        <x:v>46229.833333333336</x:v>
      </x:c>
      <x:c r="U99" s="20" t="str"/>
      <x:c r="V99" s="20" t="str">
        <x:v>Belum Diverifikasi</x:v>
      </x:c>
      <x:c r="W99" s="20" t="str"/>
      <x:c r="X99" s="20" t="str"/>
      <x:c r="Y99" s="20" t="str">
        <x:v>Ya</x:v>
      </x:c>
      <x:c r="Z99" s="20" t="str">
        <x:v>Semua</x:v>
      </x:c>
      <x:c r="AA99" s="33" t="n">
        <x:f>IF(L99="","",L99-TODAY())</x:f>
        <x:v>12</x:v>
      </x:c>
      <x:c r="AB99" s="20" t="str">
        <x:f>IF(AND(L99&lt;&gt;"",L99&lt;TODAY(),M99&lt;&gt;"Selesai &amp; Terverifikasi",M99&lt;&gt;"Tidak Berlaku"),"OVERDUE","")</x:f>
      </x:c>
      <x:c r="AC99" s="20" t="n">
        <x:f>IF(J99="Critical",4,IF(J99="High",3,IF(J99="Medium",2,1)))</x:f>
        <x:v>3</x:v>
      </x:c>
      <x:c r="AD99" s="20" t="n">
        <x:f>N99*AC99</x:f>
        <x:v>0</x:v>
      </x:c>
    </x:row>
    <x:row r="100">
      <x:c r="A100" s="20" t="str">
        <x:v>TSK-099</x:v>
      </x:c>
      <x:c r="B100" s="20" t="str">
        <x:v>EVT-ACCOM</x:v>
      </x:c>
      <x:c r="C100" s="20" t="str">
        <x:v>Rumah Komplek PIM &amp; Hotel</x:v>
      </x:c>
      <x:c r="D100" s="20" t="str">
        <x:v>Accommodation</x:v>
      </x:c>
      <x:c r="E100" s="20" t="str">
        <x:v>Sinkronkan akomodasi dengan LO dan transportasi</x:v>
      </x:c>
      <x:c r="F100" s="20" t="str">
        <x:v>Setiap tamu memiliki kamar, LO, kendaraan dan jadwal.</x:v>
      </x:c>
      <x:c r="G100" s="20" t="str">
        <x:v>PIM</x:v>
      </x:c>
      <x:c r="H100" s="20" t="str">
        <x:v>Akomodasi</x:v>
      </x:c>
      <x:c r="I100" s="20" t="str"/>
      <x:c r="J100" s="20" t="str">
        <x:v>Critical</x:v>
      </x:c>
      <x:c r="K100" s="30" t="n">
        <x:v>46230</x:v>
      </x:c>
      <x:c r="L100" s="30" t="n">
        <x:v>46240</x:v>
      </x:c>
      <x:c r="M100" s="20" t="str">
        <x:v>Belum Dimulai</x:v>
      </x:c>
      <x:c r="N100" s="31" t="n">
        <x:v>0</x:v>
      </x:c>
      <x:c r="O100" s="20" t="str">
        <x:f>IF(M100="Selesai &amp; Terverifikasi","Ready",IF(M100="Terkendala","Not Ready",IF(AND(J100="Critical",L100&lt;=TODAY()+3,N100&lt;100),"At Risk","In Progress")))</x:f>
        <x:v>In Progress</x:v>
      </x:c>
      <x:c r="P100" s="20" t="str"/>
      <x:c r="Q100" s="20" t="str"/>
      <x:c r="R100" s="20" t="str"/>
      <x:c r="S100" s="20" t="str">
        <x:v>Initial Setup</x:v>
      </x:c>
      <x:c r="T100" s="32" t="n">
        <x:v>46229.833333333336</x:v>
      </x:c>
      <x:c r="U100" s="20" t="str"/>
      <x:c r="V100" s="20" t="str">
        <x:v>Belum Diverifikasi</x:v>
      </x:c>
      <x:c r="W100" s="20" t="str"/>
      <x:c r="X100" s="20" t="str"/>
      <x:c r="Y100" s="20" t="str">
        <x:v>Ya</x:v>
      </x:c>
      <x:c r="Z100" s="20" t="str">
        <x:v>Semua</x:v>
      </x:c>
      <x:c r="AA100" s="33" t="n">
        <x:f>IF(L100="","",L100-TODAY())</x:f>
        <x:v>11</x:v>
      </x:c>
      <x:c r="AB100" s="20" t="str">
        <x:f>IF(AND(L100&lt;&gt;"",L100&lt;TODAY(),M100&lt;&gt;"Selesai &amp; Terverifikasi",M100&lt;&gt;"Tidak Berlaku"),"OVERDUE","")</x:f>
      </x:c>
      <x:c r="AC100" s="20" t="n">
        <x:f>IF(J100="Critical",4,IF(J100="High",3,IF(J100="Medium",2,1)))</x:f>
        <x:v>4</x:v>
      </x:c>
      <x:c r="AD100" s="20" t="n">
        <x:f>N100*AC100</x:f>
        <x:v>0</x:v>
      </x:c>
    </x:row>
    <x:row r="101">
      <x:c r="A101" s="20" t="str">
        <x:v>TSK-100</x:v>
      </x:c>
      <x:c r="B101" s="20" t="str">
        <x:v>EVT-ACCOM</x:v>
      </x:c>
      <x:c r="C101" s="20" t="str">
        <x:v>Rumah Komplek PIM &amp; Hotel</x:v>
      </x:c>
      <x:c r="D101" s="20" t="str">
        <x:v>Accommodation</x:v>
      </x:c>
      <x:c r="E101" s="20" t="str">
        <x:v>Lindungi data sensitif akomodasi</x:v>
      </x:c>
      <x:c r="F101" s="20" t="str">
        <x:v>Nomor kamar dan data pribadi tidak diekspos di PWA publik.</x:v>
      </x:c>
      <x:c r="G101" s="20" t="str">
        <x:v>PIM</x:v>
      </x:c>
      <x:c r="H101" s="20" t="str">
        <x:v>Akomodasi</x:v>
      </x:c>
      <x:c r="I101" s="20" t="str"/>
      <x:c r="J101" s="20" t="str">
        <x:v>Critical</x:v>
      </x:c>
      <x:c r="K101" s="30" t="n">
        <x:v>46230</x:v>
      </x:c>
      <x:c r="L101" s="30" t="n">
        <x:v>46235</x:v>
      </x:c>
      <x:c r="M101" s="20" t="str">
        <x:v>Sedang Berjalan</x:v>
      </x:c>
      <x:c r="N101" s="31" t="n">
        <x:v>70</x:v>
      </x:c>
      <x:c r="O101" s="20" t="str">
        <x:f>IF(M101="Selesai &amp; Terverifikasi","Ready",IF(M101="Terkendala","Not Ready",IF(AND(J101="Critical",L101&lt;=TODAY()+3,N101&lt;100),"At Risk","In Progress")))</x:f>
        <x:v>In Progress</x:v>
      </x:c>
      <x:c r="P101" s="20" t="str"/>
      <x:c r="Q101" s="20" t="str">
        <x:v>Gunakan endpoint publik yang disanitasi.</x:v>
      </x:c>
      <x:c r="R101" s="20" t="str"/>
      <x:c r="S101" s="20" t="str">
        <x:v>Initial Setup</x:v>
      </x:c>
      <x:c r="T101" s="32" t="n">
        <x:v>46229.833333333336</x:v>
      </x:c>
      <x:c r="U101" s="20" t="str"/>
      <x:c r="V101" s="20" t="str">
        <x:v>Belum Diverifikasi</x:v>
      </x:c>
      <x:c r="W101" s="20" t="str"/>
      <x:c r="X101" s="20" t="str"/>
      <x:c r="Y101" s="20" t="str">
        <x:v>Ya</x:v>
      </x:c>
      <x:c r="Z101" s="20" t="str">
        <x:v>Semua</x:v>
      </x:c>
      <x:c r="AA101" s="33" t="n">
        <x:f>IF(L101="","",L101-TODAY())</x:f>
        <x:v>6</x:v>
      </x:c>
      <x:c r="AB101" s="20" t="str">
        <x:f>IF(AND(L101&lt;&gt;"",L101&lt;TODAY(),M101&lt;&gt;"Selesai &amp; Terverifikasi",M101&lt;&gt;"Tidak Berlaku"),"OVERDUE","")</x:f>
      </x:c>
      <x:c r="AC101" s="20" t="n">
        <x:f>IF(J101="Critical",4,IF(J101="High",3,IF(J101="Medium",2,1)))</x:f>
        <x:v>4</x:v>
      </x:c>
      <x:c r="AD101" s="20" t="n">
        <x:f>N101*AC101</x:f>
        <x:v>280</x:v>
      </x:c>
    </x:row>
    <x:row r="102">
      <x:c r="A102" s="20" t="str">
        <x:v>TSK-101</x:v>
      </x:c>
      <x:c r="B102" s="20" t="str">
        <x:v>EVT-ACCOM</x:v>
      </x:c>
      <x:c r="C102" s="20" t="str">
        <x:v>Rumah Komplek PIM &amp; Hotel</x:v>
      </x:c>
      <x:c r="D102" s="20" t="str">
        <x:v>Accommodation</x:v>
      </x:c>
      <x:c r="E102" s="20" t="str">
        <x:v>Final inspection akomodasi H-1</x:v>
      </x:c>
      <x:c r="F102" s="20" t="str">
        <x:v>Kamar, amenities, kunci dan daftar petugas diverifikasi.</x:v>
      </x:c>
      <x:c r="G102" s="20" t="str">
        <x:v>PIM</x:v>
      </x:c>
      <x:c r="H102" s="20" t="str">
        <x:v>Akomodasi</x:v>
      </x:c>
      <x:c r="I102" s="20" t="str"/>
      <x:c r="J102" s="20" t="str">
        <x:v>Critical</x:v>
      </x:c>
      <x:c r="K102" s="30" t="n">
        <x:v>46230</x:v>
      </x:c>
      <x:c r="L102" s="30" t="n">
        <x:v>46243</x:v>
      </x:c>
      <x:c r="M102" s="20" t="str">
        <x:v>Belum Dimulai</x:v>
      </x:c>
      <x:c r="N102" s="31" t="n">
        <x:v>0</x:v>
      </x:c>
      <x:c r="O102" s="20" t="str">
        <x:f>IF(M102="Selesai &amp; Terverifikasi","Ready",IF(M102="Terkendala","Not Ready",IF(AND(J102="Critical",L102&lt;=TODAY()+3,N102&lt;100),"At Risk","In Progress")))</x:f>
        <x:v>In Progress</x:v>
      </x:c>
      <x:c r="P102" s="20" t="str"/>
      <x:c r="Q102" s="20" t="str"/>
      <x:c r="R102" s="20" t="str"/>
      <x:c r="S102" s="20" t="str">
        <x:v>Initial Setup</x:v>
      </x:c>
      <x:c r="T102" s="32" t="n">
        <x:v>46229.833333333336</x:v>
      </x:c>
      <x:c r="U102" s="20" t="str"/>
      <x:c r="V102" s="20" t="str">
        <x:v>Belum Diverifikasi</x:v>
      </x:c>
      <x:c r="W102" s="20" t="str"/>
      <x:c r="X102" s="20" t="str"/>
      <x:c r="Y102" s="20" t="str">
        <x:v>Ya</x:v>
      </x:c>
      <x:c r="Z102" s="20" t="str">
        <x:v>Semua</x:v>
      </x:c>
      <x:c r="AA102" s="33" t="n">
        <x:f>IF(L102="","",L102-TODAY())</x:f>
        <x:v>14</x:v>
      </x:c>
      <x:c r="AB102" s="20" t="str">
        <x:f>IF(AND(L102&lt;&gt;"",L102&lt;TODAY(),M102&lt;&gt;"Selesai &amp; Terverifikasi",M102&lt;&gt;"Tidak Berlaku"),"OVERDUE","")</x:f>
      </x:c>
      <x:c r="AC102" s="20" t="n">
        <x:f>IF(J102="Critical",4,IF(J102="High",3,IF(J102="Medium",2,1)))</x:f>
        <x:v>4</x:v>
      </x:c>
      <x:c r="AD102" s="20" t="n">
        <x:f>N102*AC102</x:f>
        <x:v>0</x:v>
      </x:c>
    </x:row>
    <x:row r="103">
      <x:c r="A103" s="20" t="str">
        <x:v>TSK-102</x:v>
      </x:c>
      <x:c r="B103" s="20" t="str">
        <x:v>EVT-TRANS</x:v>
      </x:c>
      <x:c r="C103" s="20" t="str">
        <x:v>Bandara / Rute Lokal</x:v>
      </x:c>
      <x:c r="D103" s="20" t="str">
        <x:v>Transportation</x:v>
      </x:c>
      <x:c r="E103" s="20" t="str">
        <x:v>Finalisasi jadwal flight komersial CGK–LSW–CGK</x:v>
      </x:c>
      <x:c r="F103" s="20" t="str">
        <x:v>Nomor flight, jam, seat block dan manifest dikonfirmasi.</x:v>
      </x:c>
      <x:c r="G103" s="20" t="str">
        <x:v>Shared</x:v>
      </x:c>
      <x:c r="H103" s="20" t="str">
        <x:v>Transportasi</x:v>
      </x:c>
      <x:c r="I103" s="20" t="str">
        <x:v>Dharlyani</x:v>
      </x:c>
      <x:c r="J103" s="20" t="str">
        <x:v>Critical</x:v>
      </x:c>
      <x:c r="K103" s="30" t="n">
        <x:v>46230</x:v>
      </x:c>
      <x:c r="L103" s="30" t="n">
        <x:v>46234</x:v>
      </x:c>
      <x:c r="M103" s="20" t="str">
        <x:v>Sedang Berjalan</x:v>
      </x:c>
      <x:c r="N103" s="31" t="n">
        <x:v>40</x:v>
      </x:c>
      <x:c r="O103" s="20" t="str">
        <x:f>IF(M103="Selesai &amp; Terverifikasi","Ready",IF(M103="Terkendala","Not Ready",IF(AND(J103="Critical",L103&lt;=TODAY()+3,N103&lt;100),"At Risk","In Progress")))</x:f>
        <x:v>In Progress</x:v>
      </x:c>
      <x:c r="P103" s="20" t="str">
        <x:v>Jadwal masih TBC.</x:v>
      </x:c>
      <x:c r="Q103" s="20" t="str">
        <x:v>Konfirmasi dengan PI Group/airline.</x:v>
      </x:c>
      <x:c r="R103" s="20" t="str"/>
      <x:c r="S103" s="20" t="str">
        <x:v>Initial Setup</x:v>
      </x:c>
      <x:c r="T103" s="32" t="n">
        <x:v>46229.833333333336</x:v>
      </x:c>
      <x:c r="U103" s="20" t="str"/>
      <x:c r="V103" s="20" t="str">
        <x:v>Belum Diverifikasi</x:v>
      </x:c>
      <x:c r="W103" s="20" t="str"/>
      <x:c r="X103" s="20" t="str"/>
      <x:c r="Y103" s="20" t="str">
        <x:v>Ya</x:v>
      </x:c>
      <x:c r="Z103" s="20" t="str">
        <x:v>Semua</x:v>
      </x:c>
      <x:c r="AA103" s="33" t="n">
        <x:f>IF(L103="","",L103-TODAY())</x:f>
        <x:v>5</x:v>
      </x:c>
      <x:c r="AB103" s="20" t="str">
        <x:f>IF(AND(L103&lt;&gt;"",L103&lt;TODAY(),M103&lt;&gt;"Selesai &amp; Terverifikasi",M103&lt;&gt;"Tidak Berlaku"),"OVERDUE","")</x:f>
      </x:c>
      <x:c r="AC103" s="20" t="n">
        <x:f>IF(J103="Critical",4,IF(J103="High",3,IF(J103="Medium",2,1)))</x:f>
        <x:v>4</x:v>
      </x:c>
      <x:c r="AD103" s="20" t="n">
        <x:f>N103*AC103</x:f>
        <x:v>160</x:v>
      </x:c>
    </x:row>
    <x:row r="104">
      <x:c r="A104" s="20" t="str">
        <x:v>TSK-103</x:v>
      </x:c>
      <x:c r="B104" s="20" t="str">
        <x:v>EVT-TRANS</x:v>
      </x:c>
      <x:c r="C104" s="20" t="str">
        <x:v>Bandara / Rute Lokal</x:v>
      </x:c>
      <x:c r="D104" s="20" t="str">
        <x:v>Transportation</x:v>
      </x:c>
      <x:c r="E104" s="20" t="str">
        <x:v>Finalisasi charter VIP KNO–LSW–KNO</x:v>
      </x:c>
      <x:c r="F104" s="20" t="str">
        <x:v>Pesawat, slot, manifest dan handling dikonfirmasi.</x:v>
      </x:c>
      <x:c r="G104" s="20" t="str">
        <x:v>Shared</x:v>
      </x:c>
      <x:c r="H104" s="20" t="str">
        <x:v>Transportasi</x:v>
      </x:c>
      <x:c r="I104" s="20" t="str">
        <x:v>Dharlyani</x:v>
      </x:c>
      <x:c r="J104" s="20" t="str">
        <x:v>Critical</x:v>
      </x:c>
      <x:c r="K104" s="30" t="n">
        <x:v>46230</x:v>
      </x:c>
      <x:c r="L104" s="30" t="n">
        <x:v>46234</x:v>
      </x:c>
      <x:c r="M104" s="20" t="str">
        <x:v>Sedang Berjalan</x:v>
      </x:c>
      <x:c r="N104" s="31" t="n">
        <x:v>40</x:v>
      </x:c>
      <x:c r="O104" s="20" t="str">
        <x:f>IF(M104="Selesai &amp; Terverifikasi","Ready",IF(M104="Terkendala","Not Ready",IF(AND(J104="Critical",L104&lt;=TODAY()+3,N104&lt;100),"At Risk","In Progress")))</x:f>
        <x:v>In Progress</x:v>
      </x:c>
      <x:c r="P104" s="20" t="str"/>
      <x:c r="Q104" s="20" t="str">
        <x:v>Konfirmasi operator charter dan jadwal.</x:v>
      </x:c>
      <x:c r="R104" s="20" t="str"/>
      <x:c r="S104" s="20" t="str">
        <x:v>Initial Setup</x:v>
      </x:c>
      <x:c r="T104" s="32" t="n">
        <x:v>46229.833333333336</x:v>
      </x:c>
      <x:c r="U104" s="20" t="str"/>
      <x:c r="V104" s="20" t="str">
        <x:v>Belum Diverifikasi</x:v>
      </x:c>
      <x:c r="W104" s="20" t="str"/>
      <x:c r="X104" s="20" t="str"/>
      <x:c r="Y104" s="20" t="str">
        <x:v>Ya</x:v>
      </x:c>
      <x:c r="Z104" s="20" t="str">
        <x:v>Semua</x:v>
      </x:c>
      <x:c r="AA104" s="33" t="n">
        <x:f>IF(L104="","",L104-TODAY())</x:f>
        <x:v>5</x:v>
      </x:c>
      <x:c r="AB104" s="20" t="str">
        <x:f>IF(AND(L104&lt;&gt;"",L104&lt;TODAY(),M104&lt;&gt;"Selesai &amp; Terverifikasi",M104&lt;&gt;"Tidak Berlaku"),"OVERDUE","")</x:f>
      </x:c>
      <x:c r="AC104" s="20" t="n">
        <x:f>IF(J104="Critical",4,IF(J104="High",3,IF(J104="Medium",2,1)))</x:f>
        <x:v>4</x:v>
      </x:c>
      <x:c r="AD104" s="20" t="n">
        <x:f>N104*AC104</x:f>
        <x:v>160</x:v>
      </x:c>
    </x:row>
    <x:row r="105">
      <x:c r="A105" s="20" t="str">
        <x:v>TSK-104</x:v>
      </x:c>
      <x:c r="B105" s="20" t="str">
        <x:v>EVT-TRANS</x:v>
      </x:c>
      <x:c r="C105" s="20" t="str">
        <x:v>Bandara / Rute Lokal</x:v>
      </x:c>
      <x:c r="D105" s="20" t="str">
        <x:v>Transportation</x:v>
      </x:c>
      <x:c r="E105" s="20" t="str">
        <x:v>Finalisasi manifest penumpang</x:v>
      </x:c>
      <x:c r="F105" s="20" t="str">
        <x:v>Nama, identitas, bagasi dan kontak darurat lengkap.</x:v>
      </x:c>
      <x:c r="G105" s="20" t="str">
        <x:v>Shared</x:v>
      </x:c>
      <x:c r="H105" s="20" t="str">
        <x:v>Transportasi</x:v>
      </x:c>
      <x:c r="I105" s="20" t="str">
        <x:v>Dharlyani</x:v>
      </x:c>
      <x:c r="J105" s="20" t="str">
        <x:v>Critical</x:v>
      </x:c>
      <x:c r="K105" s="30" t="n">
        <x:v>46230</x:v>
      </x:c>
      <x:c r="L105" s="30" t="n">
        <x:v>46239</x:v>
      </x:c>
      <x:c r="M105" s="20" t="str">
        <x:v>Belum Dimulai</x:v>
      </x:c>
      <x:c r="N105" s="31" t="n">
        <x:v>0</x:v>
      </x:c>
      <x:c r="O105" s="20" t="str">
        <x:f>IF(M105="Selesai &amp; Terverifikasi","Ready",IF(M105="Terkendala","Not Ready",IF(AND(J105="Critical",L105&lt;=TODAY()+3,N105&lt;100),"At Risk","In Progress")))</x:f>
        <x:v>In Progress</x:v>
      </x:c>
      <x:c r="P105" s="20" t="str"/>
      <x:c r="Q105" s="20" t="str"/>
      <x:c r="R105" s="20" t="str"/>
      <x:c r="S105" s="20" t="str">
        <x:v>Initial Setup</x:v>
      </x:c>
      <x:c r="T105" s="32" t="n">
        <x:v>46229.833333333336</x:v>
      </x:c>
      <x:c r="U105" s="20" t="str"/>
      <x:c r="V105" s="20" t="str">
        <x:v>Belum Diverifikasi</x:v>
      </x:c>
      <x:c r="W105" s="20" t="str"/>
      <x:c r="X105" s="20" t="str"/>
      <x:c r="Y105" s="20" t="str">
        <x:v>Ya</x:v>
      </x:c>
      <x:c r="Z105" s="20" t="str">
        <x:v>Semua</x:v>
      </x:c>
      <x:c r="AA105" s="33" t="n">
        <x:f>IF(L105="","",L105-TODAY())</x:f>
        <x:v>10</x:v>
      </x:c>
      <x:c r="AB105" s="20" t="str">
        <x:f>IF(AND(L105&lt;&gt;"",L105&lt;TODAY(),M105&lt;&gt;"Selesai &amp; Terverifikasi",M105&lt;&gt;"Tidak Berlaku"),"OVERDUE","")</x:f>
      </x:c>
      <x:c r="AC105" s="20" t="n">
        <x:f>IF(J105="Critical",4,IF(J105="High",3,IF(J105="Medium",2,1)))</x:f>
        <x:v>4</x:v>
      </x:c>
      <x:c r="AD105" s="20" t="n">
        <x:f>N105*AC105</x:f>
        <x:v>0</x:v>
      </x:c>
    </x:row>
    <x:row r="106">
      <x:c r="A106" s="20" t="str">
        <x:v>TSK-105</x:v>
      </x:c>
      <x:c r="B106" s="20" t="str">
        <x:v>EVT-TRANS</x:v>
      </x:c>
      <x:c r="C106" s="20" t="str">
        <x:v>Bandara / Rute Lokal</x:v>
      </x:c>
      <x:c r="D106" s="20" t="str">
        <x:v>Transportation</x:v>
      </x:c>
      <x:c r="E106" s="20" t="str">
        <x:v>Susun kebutuhan kendaraan per pergerakan</x:v>
      </x:c>
      <x:c r="F106" s="20" t="str">
        <x:v>Jenis, jumlah, kapasitas dan waktu kendaraan sesuai rundown.</x:v>
      </x:c>
      <x:c r="G106" s="20" t="str">
        <x:v>Shared</x:v>
      </x:c>
      <x:c r="H106" s="20" t="str">
        <x:v>Transportasi</x:v>
      </x:c>
      <x:c r="I106" s="20" t="str">
        <x:v>Dharlyani</x:v>
      </x:c>
      <x:c r="J106" s="20" t="str">
        <x:v>Critical</x:v>
      </x:c>
      <x:c r="K106" s="30" t="n">
        <x:v>46230</x:v>
      </x:c>
      <x:c r="L106" s="30" t="n">
        <x:v>46237</x:v>
      </x:c>
      <x:c r="M106" s="20" t="str">
        <x:v>Belum Dimulai</x:v>
      </x:c>
      <x:c r="N106" s="31" t="n">
        <x:v>0</x:v>
      </x:c>
      <x:c r="O106" s="20" t="str">
        <x:f>IF(M106="Selesai &amp; Terverifikasi","Ready",IF(M106="Terkendala","Not Ready",IF(AND(J106="Critical",L106&lt;=TODAY()+3,N106&lt;100),"At Risk","In Progress")))</x:f>
        <x:v>In Progress</x:v>
      </x:c>
      <x:c r="P106" s="20" t="str"/>
      <x:c r="Q106" s="20" t="str"/>
      <x:c r="R106" s="20" t="str"/>
      <x:c r="S106" s="20" t="str">
        <x:v>Initial Setup</x:v>
      </x:c>
      <x:c r="T106" s="32" t="n">
        <x:v>46229.833333333336</x:v>
      </x:c>
      <x:c r="U106" s="20" t="str"/>
      <x:c r="V106" s="20" t="str">
        <x:v>Belum Diverifikasi</x:v>
      </x:c>
      <x:c r="W106" s="20" t="str"/>
      <x:c r="X106" s="20" t="str"/>
      <x:c r="Y106" s="20" t="str">
        <x:v>Ya</x:v>
      </x:c>
      <x:c r="Z106" s="20" t="str">
        <x:v>Semua</x:v>
      </x:c>
      <x:c r="AA106" s="33" t="n">
        <x:f>IF(L106="","",L106-TODAY())</x:f>
        <x:v>8</x:v>
      </x:c>
      <x:c r="AB106" s="20" t="str">
        <x:f>IF(AND(L106&lt;&gt;"",L106&lt;TODAY(),M106&lt;&gt;"Selesai &amp; Terverifikasi",M106&lt;&gt;"Tidak Berlaku"),"OVERDUE","")</x:f>
      </x:c>
      <x:c r="AC106" s="20" t="n">
        <x:f>IF(J106="Critical",4,IF(J106="High",3,IF(J106="Medium",2,1)))</x:f>
        <x:v>4</x:v>
      </x:c>
      <x:c r="AD106" s="20" t="n">
        <x:f>N106*AC106</x:f>
        <x:v>0</x:v>
      </x:c>
    </x:row>
    <x:row r="107">
      <x:c r="A107" s="20" t="str">
        <x:v>TSK-106</x:v>
      </x:c>
      <x:c r="B107" s="20" t="str">
        <x:v>EVT-TRANS</x:v>
      </x:c>
      <x:c r="C107" s="20" t="str">
        <x:v>Bandara / Rute Lokal</x:v>
      </x:c>
      <x:c r="D107" s="20" t="str">
        <x:v>Transportation</x:v>
      </x:c>
      <x:c r="E107" s="20" t="str">
        <x:v>Tetapkan driver dan dispatcher</x:v>
      </x:c>
      <x:c r="F107" s="20" t="str">
        <x:v>Nama, kontak, kendaraan, shift dan titik standby tersedia.</x:v>
      </x:c>
      <x:c r="G107" s="20" t="str">
        <x:v>Shared</x:v>
      </x:c>
      <x:c r="H107" s="20" t="str">
        <x:v>Transportasi</x:v>
      </x:c>
      <x:c r="I107" s="20" t="str">
        <x:v>Dharlyani</x:v>
      </x:c>
      <x:c r="J107" s="20" t="str">
        <x:v>High</x:v>
      </x:c>
      <x:c r="K107" s="30" t="n">
        <x:v>46230</x:v>
      </x:c>
      <x:c r="L107" s="30" t="n">
        <x:v>46240</x:v>
      </x:c>
      <x:c r="M107" s="20" t="str">
        <x:v>Belum Dimulai</x:v>
      </x:c>
      <x:c r="N107" s="31" t="n">
        <x:v>0</x:v>
      </x:c>
      <x:c r="O107" s="20" t="str">
        <x:f>IF(M107="Selesai &amp; Terverifikasi","Ready",IF(M107="Terkendala","Not Ready",IF(AND(J107="Critical",L107&lt;=TODAY()+3,N107&lt;100),"At Risk","In Progress")))</x:f>
        <x:v>In Progress</x:v>
      </x:c>
      <x:c r="P107" s="20" t="str"/>
      <x:c r="Q107" s="20" t="str"/>
      <x:c r="R107" s="20" t="str"/>
      <x:c r="S107" s="20" t="str">
        <x:v>Initial Setup</x:v>
      </x:c>
      <x:c r="T107" s="32" t="n">
        <x:v>46229.833333333336</x:v>
      </x:c>
      <x:c r="U107" s="20" t="str"/>
      <x:c r="V107" s="20" t="str">
        <x:v>Belum Diverifikasi</x:v>
      </x:c>
      <x:c r="W107" s="20" t="str"/>
      <x:c r="X107" s="20" t="str"/>
      <x:c r="Y107" s="20" t="str">
        <x:v>Ya</x:v>
      </x:c>
      <x:c r="Z107" s="20" t="str">
        <x:v>Semua</x:v>
      </x:c>
      <x:c r="AA107" s="33" t="n">
        <x:f>IF(L107="","",L107-TODAY())</x:f>
        <x:v>11</x:v>
      </x:c>
      <x:c r="AB107" s="20" t="str">
        <x:f>IF(AND(L107&lt;&gt;"",L107&lt;TODAY(),M107&lt;&gt;"Selesai &amp; Terverifikasi",M107&lt;&gt;"Tidak Berlaku"),"OVERDUE","")</x:f>
      </x:c>
      <x:c r="AC107" s="20" t="n">
        <x:f>IF(J107="Critical",4,IF(J107="High",3,IF(J107="Medium",2,1)))</x:f>
        <x:v>3</x:v>
      </x:c>
      <x:c r="AD107" s="20" t="n">
        <x:f>N107*AC107</x:f>
        <x:v>0</x:v>
      </x:c>
    </x:row>
    <x:row r="108">
      <x:c r="A108" s="20" t="str">
        <x:v>TSK-107</x:v>
      </x:c>
      <x:c r="B108" s="20" t="str">
        <x:v>EVT-TRANS</x:v>
      </x:c>
      <x:c r="C108" s="20" t="str">
        <x:v>Bandara / Rute Lokal</x:v>
      </x:c>
      <x:c r="D108" s="20" t="str">
        <x:v>Transportation</x:v>
      </x:c>
      <x:c r="E108" s="20" t="str">
        <x:v>Siapkan airport handling dan signage</x:v>
      </x:c>
      <x:c r="F108" s="20" t="str">
        <x:v>Petugas, papan nama, jalur VIP dan luggage handling siap.</x:v>
      </x:c>
      <x:c r="G108" s="20" t="str">
        <x:v>Shared</x:v>
      </x:c>
      <x:c r="H108" s="20" t="str">
        <x:v>Transportasi</x:v>
      </x:c>
      <x:c r="I108" s="20" t="str">
        <x:v>Dharlyani</x:v>
      </x:c>
      <x:c r="J108" s="20" t="str">
        <x:v>Critical</x:v>
      </x:c>
      <x:c r="K108" s="30" t="n">
        <x:v>46230</x:v>
      </x:c>
      <x:c r="L108" s="30" t="n">
        <x:v>46241</x:v>
      </x:c>
      <x:c r="M108" s="20" t="str">
        <x:v>Belum Dimulai</x:v>
      </x:c>
      <x:c r="N108" s="31" t="n">
        <x:v>0</x:v>
      </x:c>
      <x:c r="O108" s="20" t="str">
        <x:f>IF(M108="Selesai &amp; Terverifikasi","Ready",IF(M108="Terkendala","Not Ready",IF(AND(J108="Critical",L108&lt;=TODAY()+3,N108&lt;100),"At Risk","In Progress")))</x:f>
        <x:v>In Progress</x:v>
      </x:c>
      <x:c r="P108" s="20" t="str"/>
      <x:c r="Q108" s="20" t="str"/>
      <x:c r="R108" s="20" t="str"/>
      <x:c r="S108" s="20" t="str">
        <x:v>Initial Setup</x:v>
      </x:c>
      <x:c r="T108" s="32" t="n">
        <x:v>46229.833333333336</x:v>
      </x:c>
      <x:c r="U108" s="20" t="str"/>
      <x:c r="V108" s="20" t="str">
        <x:v>Belum Diverifikasi</x:v>
      </x:c>
      <x:c r="W108" s="20" t="str"/>
      <x:c r="X108" s="20" t="str"/>
      <x:c r="Y108" s="20" t="str">
        <x:v>Ya</x:v>
      </x:c>
      <x:c r="Z108" s="20" t="str">
        <x:v>Semua</x:v>
      </x:c>
      <x:c r="AA108" s="33" t="n">
        <x:f>IF(L108="","",L108-TODAY())</x:f>
        <x:v>12</x:v>
      </x:c>
      <x:c r="AB108" s="20" t="str">
        <x:f>IF(AND(L108&lt;&gt;"",L108&lt;TODAY(),M108&lt;&gt;"Selesai &amp; Terverifikasi",M108&lt;&gt;"Tidak Berlaku"),"OVERDUE","")</x:f>
      </x:c>
      <x:c r="AC108" s="20" t="n">
        <x:f>IF(J108="Critical",4,IF(J108="High",3,IF(J108="Medium",2,1)))</x:f>
        <x:v>4</x:v>
      </x:c>
      <x:c r="AD108" s="20" t="n">
        <x:f>N108*AC108</x:f>
        <x:v>0</x:v>
      </x:c>
    </x:row>
    <x:row r="109">
      <x:c r="A109" s="20" t="str">
        <x:v>TSK-108</x:v>
      </x:c>
      <x:c r="B109" s="20" t="str">
        <x:v>EVT-TRANS</x:v>
      </x:c>
      <x:c r="C109" s="20" t="str">
        <x:v>Bandara / Rute Lokal</x:v>
      </x:c>
      <x:c r="D109" s="20" t="str">
        <x:v>Transportation</x:v>
      </x:c>
      <x:c r="E109" s="20" t="str">
        <x:v>Lakukan route survey</x:v>
      </x:c>
      <x:c r="F109" s="20" t="str">
        <x:v>Rute bandara–PIM–hotel–venue dan waktu tempuh diuji.</x:v>
      </x:c>
      <x:c r="G109" s="20" t="str">
        <x:v>Shared</x:v>
      </x:c>
      <x:c r="H109" s="20" t="str">
        <x:v>Transportasi</x:v>
      </x:c>
      <x:c r="I109" s="20" t="str">
        <x:v>Dharlyani</x:v>
      </x:c>
      <x:c r="J109" s="20" t="str">
        <x:v>High</x:v>
      </x:c>
      <x:c r="K109" s="30" t="n">
        <x:v>46230</x:v>
      </x:c>
      <x:c r="L109" s="30" t="n">
        <x:v>46238</x:v>
      </x:c>
      <x:c r="M109" s="20" t="str">
        <x:v>Belum Dimulai</x:v>
      </x:c>
      <x:c r="N109" s="31" t="n">
        <x:v>0</x:v>
      </x:c>
      <x:c r="O109" s="20" t="str">
        <x:f>IF(M109="Selesai &amp; Terverifikasi","Ready",IF(M109="Terkendala","Not Ready",IF(AND(J109="Critical",L109&lt;=TODAY()+3,N109&lt;100),"At Risk","In Progress")))</x:f>
        <x:v>In Progress</x:v>
      </x:c>
      <x:c r="P109" s="20" t="str"/>
      <x:c r="Q109" s="20" t="str"/>
      <x:c r="R109" s="20" t="str"/>
      <x:c r="S109" s="20" t="str">
        <x:v>Initial Setup</x:v>
      </x:c>
      <x:c r="T109" s="32" t="n">
        <x:v>46229.833333333336</x:v>
      </x:c>
      <x:c r="U109" s="20" t="str"/>
      <x:c r="V109" s="20" t="str">
        <x:v>Belum Diverifikasi</x:v>
      </x:c>
      <x:c r="W109" s="20" t="str"/>
      <x:c r="X109" s="20" t="str"/>
      <x:c r="Y109" s="20" t="str">
        <x:v>Ya</x:v>
      </x:c>
      <x:c r="Z109" s="20" t="str">
        <x:v>Semua</x:v>
      </x:c>
      <x:c r="AA109" s="33" t="n">
        <x:f>IF(L109="","",L109-TODAY())</x:f>
        <x:v>9</x:v>
      </x:c>
      <x:c r="AB109" s="20" t="str">
        <x:f>IF(AND(L109&lt;&gt;"",L109&lt;TODAY(),M109&lt;&gt;"Selesai &amp; Terverifikasi",M109&lt;&gt;"Tidak Berlaku"),"OVERDUE","")</x:f>
      </x:c>
      <x:c r="AC109" s="20" t="n">
        <x:f>IF(J109="Critical",4,IF(J109="High",3,IF(J109="Medium",2,1)))</x:f>
        <x:v>3</x:v>
      </x:c>
      <x:c r="AD109" s="20" t="n">
        <x:f>N109*AC109</x:f>
        <x:v>0</x:v>
      </x:c>
    </x:row>
    <x:row r="110">
      <x:c r="A110" s="20" t="str">
        <x:v>TSK-109</x:v>
      </x:c>
      <x:c r="B110" s="20" t="str">
        <x:v>EVT-TRANS</x:v>
      </x:c>
      <x:c r="C110" s="20" t="str">
        <x:v>Bandara / Rute Lokal</x:v>
      </x:c>
      <x:c r="D110" s="20" t="str">
        <x:v>Transportation</x:v>
      </x:c>
      <x:c r="E110" s="20" t="str">
        <x:v>Siapkan kendaraan cadangan</x:v>
      </x:c>
      <x:c r="F110" s="20" t="str">
        <x:v>Backup vehicle dan driver tersedia untuk tiap pergerakan kritis.</x:v>
      </x:c>
      <x:c r="G110" s="20" t="str">
        <x:v>Shared</x:v>
      </x:c>
      <x:c r="H110" s="20" t="str">
        <x:v>Transportasi</x:v>
      </x:c>
      <x:c r="I110" s="20" t="str">
        <x:v>Dharlyani</x:v>
      </x:c>
      <x:c r="J110" s="20" t="str">
        <x:v>Critical</x:v>
      </x:c>
      <x:c r="K110" s="30" t="n">
        <x:v>46230</x:v>
      </x:c>
      <x:c r="L110" s="30" t="n">
        <x:v>46241</x:v>
      </x:c>
      <x:c r="M110" s="20" t="str">
        <x:v>Belum Dimulai</x:v>
      </x:c>
      <x:c r="N110" s="31" t="n">
        <x:v>0</x:v>
      </x:c>
      <x:c r="O110" s="20" t="str">
        <x:f>IF(M110="Selesai &amp; Terverifikasi","Ready",IF(M110="Terkendala","Not Ready",IF(AND(J110="Critical",L110&lt;=TODAY()+3,N110&lt;100),"At Risk","In Progress")))</x:f>
        <x:v>In Progress</x:v>
      </x:c>
      <x:c r="P110" s="20" t="str"/>
      <x:c r="Q110" s="20" t="str"/>
      <x:c r="R110" s="20" t="str"/>
      <x:c r="S110" s="20" t="str">
        <x:v>Initial Setup</x:v>
      </x:c>
      <x:c r="T110" s="32" t="n">
        <x:v>46229.833333333336</x:v>
      </x:c>
      <x:c r="U110" s="20" t="str"/>
      <x:c r="V110" s="20" t="str">
        <x:v>Belum Diverifikasi</x:v>
      </x:c>
      <x:c r="W110" s="20" t="str"/>
      <x:c r="X110" s="20" t="str"/>
      <x:c r="Y110" s="20" t="str">
        <x:v>Ya</x:v>
      </x:c>
      <x:c r="Z110" s="20" t="str">
        <x:v>Semua</x:v>
      </x:c>
      <x:c r="AA110" s="33" t="n">
        <x:f>IF(L110="","",L110-TODAY())</x:f>
        <x:v>12</x:v>
      </x:c>
      <x:c r="AB110" s="20" t="str">
        <x:f>IF(AND(L110&lt;&gt;"",L110&lt;TODAY(),M110&lt;&gt;"Selesai &amp; Terverifikasi",M110&lt;&gt;"Tidak Berlaku"),"OVERDUE","")</x:f>
      </x:c>
      <x:c r="AC110" s="20" t="n">
        <x:f>IF(J110="Critical",4,IF(J110="High",3,IF(J110="Medium",2,1)))</x:f>
        <x:v>4</x:v>
      </x:c>
      <x:c r="AD110" s="20" t="n">
        <x:f>N110*AC110</x:f>
        <x:v>0</x:v>
      </x:c>
    </x:row>
    <x:row r="111">
      <x:c r="A111" s="20" t="str">
        <x:v>TSK-110</x:v>
      </x:c>
      <x:c r="B111" s="20" t="str">
        <x:v>EVT-TRANS</x:v>
      </x:c>
      <x:c r="C111" s="20" t="str">
        <x:v>Bandara / Rute Lokal</x:v>
      </x:c>
      <x:c r="D111" s="20" t="str">
        <x:v>Transportation</x:v>
      </x:c>
      <x:c r="E111" s="20" t="str">
        <x:v>Periksa kebersihan, bahan bakar dan kelayakan kendaraan</x:v>
      </x:c>
      <x:c r="F111" s="20" t="str">
        <x:v>Checklist kendaraan selesai sebelum dispatch.</x:v>
      </x:c>
      <x:c r="G111" s="20" t="str">
        <x:v>Shared</x:v>
      </x:c>
      <x:c r="H111" s="20" t="str">
        <x:v>Transportasi</x:v>
      </x:c>
      <x:c r="I111" s="20" t="str">
        <x:v>Dharlyani</x:v>
      </x:c>
      <x:c r="J111" s="20" t="str">
        <x:v>High</x:v>
      </x:c>
      <x:c r="K111" s="30" t="n">
        <x:v>46230</x:v>
      </x:c>
      <x:c r="L111" s="30" t="n">
        <x:v>46243</x:v>
      </x:c>
      <x:c r="M111" s="20" t="str">
        <x:v>Belum Dimulai</x:v>
      </x:c>
      <x:c r="N111" s="31" t="n">
        <x:v>0</x:v>
      </x:c>
      <x:c r="O111" s="20" t="str">
        <x:f>IF(M111="Selesai &amp; Terverifikasi","Ready",IF(M111="Terkendala","Not Ready",IF(AND(J111="Critical",L111&lt;=TODAY()+3,N111&lt;100),"At Risk","In Progress")))</x:f>
        <x:v>In Progress</x:v>
      </x:c>
      <x:c r="P111" s="20" t="str"/>
      <x:c r="Q111" s="20" t="str"/>
      <x:c r="R111" s="20" t="str"/>
      <x:c r="S111" s="20" t="str">
        <x:v>Initial Setup</x:v>
      </x:c>
      <x:c r="T111" s="32" t="n">
        <x:v>46229.833333333336</x:v>
      </x:c>
      <x:c r="U111" s="20" t="str"/>
      <x:c r="V111" s="20" t="str">
        <x:v>Belum Diverifikasi</x:v>
      </x:c>
      <x:c r="W111" s="20" t="str"/>
      <x:c r="X111" s="20" t="str"/>
      <x:c r="Y111" s="20" t="str">
        <x:v>Ya</x:v>
      </x:c>
      <x:c r="Z111" s="20" t="str">
        <x:v>Semua</x:v>
      </x:c>
      <x:c r="AA111" s="33" t="n">
        <x:f>IF(L111="","",L111-TODAY())</x:f>
        <x:v>14</x:v>
      </x:c>
      <x:c r="AB111" s="20" t="str">
        <x:f>IF(AND(L111&lt;&gt;"",L111&lt;TODAY(),M111&lt;&gt;"Selesai &amp; Terverifikasi",M111&lt;&gt;"Tidak Berlaku"),"OVERDUE","")</x:f>
      </x:c>
      <x:c r="AC111" s="20" t="n">
        <x:f>IF(J111="Critical",4,IF(J111="High",3,IF(J111="Medium",2,1)))</x:f>
        <x:v>3</x:v>
      </x:c>
      <x:c r="AD111" s="20" t="n">
        <x:f>N111*AC111</x:f>
        <x:v>0</x:v>
      </x:c>
    </x:row>
    <x:row r="112">
      <x:c r="A112" s="20" t="str">
        <x:v>TSK-111</x:v>
      </x:c>
      <x:c r="B112" s="20" t="str">
        <x:v>EVT-TRANS</x:v>
      </x:c>
      <x:c r="C112" s="20" t="str">
        <x:v>Bandara / Rute Lokal</x:v>
      </x:c>
      <x:c r="D112" s="20" t="str">
        <x:v>Transportation</x:v>
      </x:c>
      <x:c r="E112" s="20" t="str">
        <x:v>Sinkronkan dispatch dengan LO</x:v>
      </x:c>
      <x:c r="F112" s="20" t="str">
        <x:v>Setiap tamu memiliki LO, kendaraan dan titik temu.</x:v>
      </x:c>
      <x:c r="G112" s="20" t="str">
        <x:v>Shared</x:v>
      </x:c>
      <x:c r="H112" s="20" t="str">
        <x:v>Transportasi</x:v>
      </x:c>
      <x:c r="I112" s="20" t="str">
        <x:v>Dharlyani</x:v>
      </x:c>
      <x:c r="J112" s="20" t="str">
        <x:v>Critical</x:v>
      </x:c>
      <x:c r="K112" s="30" t="n">
        <x:v>46230</x:v>
      </x:c>
      <x:c r="L112" s="30" t="n">
        <x:v>46241</x:v>
      </x:c>
      <x:c r="M112" s="20" t="str">
        <x:v>Belum Dimulai</x:v>
      </x:c>
      <x:c r="N112" s="31" t="n">
        <x:v>0</x:v>
      </x:c>
      <x:c r="O112" s="20" t="str">
        <x:f>IF(M112="Selesai &amp; Terverifikasi","Ready",IF(M112="Terkendala","Not Ready",IF(AND(J112="Critical",L112&lt;=TODAY()+3,N112&lt;100),"At Risk","In Progress")))</x:f>
        <x:v>In Progress</x:v>
      </x:c>
      <x:c r="P112" s="20" t="str"/>
      <x:c r="Q112" s="20" t="str"/>
      <x:c r="R112" s="20" t="str"/>
      <x:c r="S112" s="20" t="str">
        <x:v>Initial Setup</x:v>
      </x:c>
      <x:c r="T112" s="32" t="n">
        <x:v>46229.833333333336</x:v>
      </x:c>
      <x:c r="U112" s="20" t="str"/>
      <x:c r="V112" s="20" t="str">
        <x:v>Belum Diverifikasi</x:v>
      </x:c>
      <x:c r="W112" s="20" t="str"/>
      <x:c r="X112" s="20" t="str"/>
      <x:c r="Y112" s="20" t="str">
        <x:v>Ya</x:v>
      </x:c>
      <x:c r="Z112" s="20" t="str">
        <x:v>Semua</x:v>
      </x:c>
      <x:c r="AA112" s="33" t="n">
        <x:f>IF(L112="","",L112-TODAY())</x:f>
        <x:v>12</x:v>
      </x:c>
      <x:c r="AB112" s="20" t="str">
        <x:f>IF(AND(L112&lt;&gt;"",L112&lt;TODAY(),M112&lt;&gt;"Selesai &amp; Terverifikasi",M112&lt;&gt;"Tidak Berlaku"),"OVERDUE","")</x:f>
      </x:c>
      <x:c r="AC112" s="20" t="n">
        <x:f>IF(J112="Critical",4,IF(J112="High",3,IF(J112="Medium",2,1)))</x:f>
        <x:v>4</x:v>
      </x:c>
      <x:c r="AD112" s="20" t="n">
        <x:f>N112*AC112</x:f>
        <x:v>0</x:v>
      </x:c>
    </x:row>
    <x:row r="113">
      <x:c r="A113" s="20" t="str">
        <x:v>TSK-112</x:v>
      </x:c>
      <x:c r="B113" s="20" t="str">
        <x:v>EVT-TRANS</x:v>
      </x:c>
      <x:c r="C113" s="20" t="str">
        <x:v>Bandara / Rute Lokal</x:v>
      </x:c>
      <x:c r="D113" s="20" t="str">
        <x:v>Transportation</x:v>
      </x:c>
      <x:c r="E113" s="20" t="str">
        <x:v>Siapkan rencana kepulangan</x:v>
      </x:c>
      <x:c r="F113" s="20" t="str">
        <x:v>Pickup, check-out, bagasi dan airport cut-off tervalidasi.</x:v>
      </x:c>
      <x:c r="G113" s="20" t="str">
        <x:v>Shared</x:v>
      </x:c>
      <x:c r="H113" s="20" t="str">
        <x:v>Transportasi</x:v>
      </x:c>
      <x:c r="I113" s="20" t="str">
        <x:v>Dharlyani</x:v>
      </x:c>
      <x:c r="J113" s="20" t="str">
        <x:v>Critical</x:v>
      </x:c>
      <x:c r="K113" s="30" t="n">
        <x:v>46230</x:v>
      </x:c>
      <x:c r="L113" s="30" t="n">
        <x:v>46240</x:v>
      </x:c>
      <x:c r="M113" s="20" t="str">
        <x:v>Belum Dimulai</x:v>
      </x:c>
      <x:c r="N113" s="31" t="n">
        <x:v>0</x:v>
      </x:c>
      <x:c r="O113" s="20" t="str">
        <x:f>IF(M113="Selesai &amp; Terverifikasi","Ready",IF(M113="Terkendala","Not Ready",IF(AND(J113="Critical",L113&lt;=TODAY()+3,N113&lt;100),"At Risk","In Progress")))</x:f>
        <x:v>In Progress</x:v>
      </x:c>
      <x:c r="P113" s="20" t="str"/>
      <x:c r="Q113" s="20" t="str"/>
      <x:c r="R113" s="20" t="str"/>
      <x:c r="S113" s="20" t="str">
        <x:v>Initial Setup</x:v>
      </x:c>
      <x:c r="T113" s="32" t="n">
        <x:v>46229.833333333336</x:v>
      </x:c>
      <x:c r="U113" s="20" t="str"/>
      <x:c r="V113" s="20" t="str">
        <x:v>Belum Diverifikasi</x:v>
      </x:c>
      <x:c r="W113" s="20" t="str"/>
      <x:c r="X113" s="20" t="str"/>
      <x:c r="Y113" s="20" t="str">
        <x:v>Ya</x:v>
      </x:c>
      <x:c r="Z113" s="20" t="str">
        <x:v>Semua</x:v>
      </x:c>
      <x:c r="AA113" s="33" t="n">
        <x:f>IF(L113="","",L113-TODAY())</x:f>
        <x:v>11</x:v>
      </x:c>
      <x:c r="AB113" s="20" t="str">
        <x:f>IF(AND(L113&lt;&gt;"",L113&lt;TODAY(),M113&lt;&gt;"Selesai &amp; Terverifikasi",M113&lt;&gt;"Tidak Berlaku"),"OVERDUE","")</x:f>
      </x:c>
      <x:c r="AC113" s="20" t="n">
        <x:f>IF(J113="Critical",4,IF(J113="High",3,IF(J113="Medium",2,1)))</x:f>
        <x:v>4</x:v>
      </x:c>
      <x:c r="AD113" s="20" t="n">
        <x:f>N113*AC113</x:f>
        <x:v>0</x:v>
      </x:c>
    </x:row>
    <x:row r="114">
      <x:c r="A114" s="20" t="str">
        <x:v>TSK-113</x:v>
      </x:c>
      <x:c r="B114" s="20" t="str">
        <x:v>EVT-TRANS</x:v>
      </x:c>
      <x:c r="C114" s="20" t="str">
        <x:v>Bandara / Rute Lokal</x:v>
      </x:c>
      <x:c r="D114" s="20" t="str">
        <x:v>Transportation</x:v>
      </x:c>
      <x:c r="E114" s="20" t="str">
        <x:v>Lakukan simulasi dispatch</x:v>
      </x:c>
      <x:c r="F114" s="20" t="str">
        <x:v>Komunikasi dispatcher, driver, LO dan command center diuji.</x:v>
      </x:c>
      <x:c r="G114" s="20" t="str">
        <x:v>Shared</x:v>
      </x:c>
      <x:c r="H114" s="20" t="str">
        <x:v>Transportasi</x:v>
      </x:c>
      <x:c r="I114" s="20" t="str">
        <x:v>Dharlyani</x:v>
      </x:c>
      <x:c r="J114" s="20" t="str">
        <x:v>High</x:v>
      </x:c>
      <x:c r="K114" s="30" t="n">
        <x:v>46230</x:v>
      </x:c>
      <x:c r="L114" s="30" t="n">
        <x:v>46243</x:v>
      </x:c>
      <x:c r="M114" s="20" t="str">
        <x:v>Belum Dimulai</x:v>
      </x:c>
      <x:c r="N114" s="31" t="n">
        <x:v>0</x:v>
      </x:c>
      <x:c r="O114" s="20" t="str">
        <x:f>IF(M114="Selesai &amp; Terverifikasi","Ready",IF(M114="Terkendala","Not Ready",IF(AND(J114="Critical",L114&lt;=TODAY()+3,N114&lt;100),"At Risk","In Progress")))</x:f>
        <x:v>In Progress</x:v>
      </x:c>
      <x:c r="P114" s="20" t="str"/>
      <x:c r="Q114" s="20" t="str"/>
      <x:c r="R114" s="20" t="str"/>
      <x:c r="S114" s="20" t="str">
        <x:v>Initial Setup</x:v>
      </x:c>
      <x:c r="T114" s="32" t="n">
        <x:v>46229.833333333336</x:v>
      </x:c>
      <x:c r="U114" s="20" t="str"/>
      <x:c r="V114" s="20" t="str">
        <x:v>Belum Diverifikasi</x:v>
      </x:c>
      <x:c r="W114" s="20" t="str"/>
      <x:c r="X114" s="20" t="str"/>
      <x:c r="Y114" s="20" t="str">
        <x:v>Ya</x:v>
      </x:c>
      <x:c r="Z114" s="20" t="str">
        <x:v>Semua</x:v>
      </x:c>
      <x:c r="AA114" s="33" t="n">
        <x:f>IF(L114="","",L114-TODAY())</x:f>
        <x:v>14</x:v>
      </x:c>
      <x:c r="AB114" s="20" t="str">
        <x:f>IF(AND(L114&lt;&gt;"",L114&lt;TODAY(),M114&lt;&gt;"Selesai &amp; Terverifikasi",M114&lt;&gt;"Tidak Berlaku"),"OVERDUE","")</x:f>
      </x:c>
      <x:c r="AC114" s="20" t="n">
        <x:f>IF(J114="Critical",4,IF(J114="High",3,IF(J114="Medium",2,1)))</x:f>
        <x:v>3</x:v>
      </x:c>
      <x:c r="AD114" s="20" t="n">
        <x:f>N114*AC114</x:f>
        <x:v>0</x:v>
      </x:c>
    </x:row>
    <x:row r="115">
      <x:c r="A115" s="20" t="str">
        <x:v>TSK-114</x:v>
      </x:c>
      <x:c r="B115" s="20" t="str">
        <x:v>EVT-GEN</x:v>
      </x:c>
      <x:c r="C115" s="20" t="str">
        <x:v>Seluruh Venue</x:v>
      </x:c>
      <x:c r="D115" s="20" t="str">
        <x:v>Consumption</x:v>
      </x:c>
      <x:c r="E115" s="20" t="str">
        <x:v>Susun meal matrix seluruh rangkaian</x:v>
      </x:c>
      <x:c r="F115" s="20" t="str">
        <x:v>Semua sarapan, coffee break, lunch, dinner dan snack tercatat.</x:v>
      </x:c>
      <x:c r="G115" s="20" t="str">
        <x:v>Shared</x:v>
      </x:c>
      <x:c r="H115" s="20" t="str">
        <x:v>Peralatan, Perlengkapan &amp; Konsumsi</x:v>
      </x:c>
      <x:c r="I115" s="20" t="str">
        <x:v>Mulia Zahrin</x:v>
      </x:c>
      <x:c r="J115" s="20" t="str">
        <x:v>Critical</x:v>
      </x:c>
      <x:c r="K115" s="30" t="n">
        <x:v>46230</x:v>
      </x:c>
      <x:c r="L115" s="30" t="n">
        <x:v>46234</x:v>
      </x:c>
      <x:c r="M115" s="20" t="str">
        <x:v>Belum Dimulai</x:v>
      </x:c>
      <x:c r="N115" s="31" t="n">
        <x:v>0</x:v>
      </x:c>
      <x:c r="O115" s="20" t="str">
        <x:f>IF(M115="Selesai &amp; Terverifikasi","Ready",IF(M115="Terkendala","Not Ready",IF(AND(J115="Critical",L115&lt;=TODAY()+3,N115&lt;100),"At Risk","In Progress")))</x:f>
        <x:v>In Progress</x:v>
      </x:c>
      <x:c r="P115" s="20" t="str"/>
      <x:c r="Q115" s="20" t="str"/>
      <x:c r="R115" s="20" t="str"/>
      <x:c r="S115" s="20" t="str">
        <x:v>Initial Setup</x:v>
      </x:c>
      <x:c r="T115" s="32" t="n">
        <x:v>46229.833333333336</x:v>
      </x:c>
      <x:c r="U115" s="20" t="str"/>
      <x:c r="V115" s="20" t="str">
        <x:v>Belum Diverifikasi</x:v>
      </x:c>
      <x:c r="W115" s="20" t="str"/>
      <x:c r="X115" s="20" t="str"/>
      <x:c r="Y115" s="20" t="str">
        <x:v>Ya</x:v>
      </x:c>
      <x:c r="Z115" s="20" t="str">
        <x:v>Semua</x:v>
      </x:c>
      <x:c r="AA115" s="33" t="n">
        <x:f>IF(L115="","",L115-TODAY())</x:f>
        <x:v>5</x:v>
      </x:c>
      <x:c r="AB115" s="20" t="str">
        <x:f>IF(AND(L115&lt;&gt;"",L115&lt;TODAY(),M115&lt;&gt;"Selesai &amp; Terverifikasi",M115&lt;&gt;"Tidak Berlaku"),"OVERDUE","")</x:f>
      </x:c>
      <x:c r="AC115" s="20" t="n">
        <x:f>IF(J115="Critical",4,IF(J115="High",3,IF(J115="Medium",2,1)))</x:f>
        <x:v>4</x:v>
      </x:c>
      <x:c r="AD115" s="20" t="n">
        <x:f>N115*AC115</x:f>
        <x:v>0</x:v>
      </x:c>
    </x:row>
    <x:row r="116">
      <x:c r="A116" s="20" t="str">
        <x:v>TSK-115</x:v>
      </x:c>
      <x:c r="B116" s="20" t="str">
        <x:v>EVT-GEN</x:v>
      </x:c>
      <x:c r="C116" s="20" t="str">
        <x:v>Seluruh Venue</x:v>
      </x:c>
      <x:c r="D116" s="20" t="str">
        <x:v>Consumption</x:v>
      </x:c>
      <x:c r="E116" s="20" t="str">
        <x:v>Finalisasi headcount tiap meal session</x:v>
      </x:c>
      <x:c r="F116" s="20" t="str">
        <x:v>Jumlah per lokasi dan waktu sesuai daftar peserta.</x:v>
      </x:c>
      <x:c r="G116" s="20" t="str">
        <x:v>Shared</x:v>
      </x:c>
      <x:c r="H116" s="20" t="str">
        <x:v>Peralatan, Perlengkapan &amp; Konsumsi</x:v>
      </x:c>
      <x:c r="I116" s="20" t="str">
        <x:v>Mulia Zahrin</x:v>
      </x:c>
      <x:c r="J116" s="20" t="str">
        <x:v>Critical</x:v>
      </x:c>
      <x:c r="K116" s="30" t="n">
        <x:v>46230</x:v>
      </x:c>
      <x:c r="L116" s="30" t="n">
        <x:v>46238</x:v>
      </x:c>
      <x:c r="M116" s="20" t="str">
        <x:v>Belum Dimulai</x:v>
      </x:c>
      <x:c r="N116" s="31" t="n">
        <x:v>0</x:v>
      </x:c>
      <x:c r="O116" s="20" t="str">
        <x:f>IF(M116="Selesai &amp; Terverifikasi","Ready",IF(M116="Terkendala","Not Ready",IF(AND(J116="Critical",L116&lt;=TODAY()+3,N116&lt;100),"At Risk","In Progress")))</x:f>
        <x:v>In Progress</x:v>
      </x:c>
      <x:c r="P116" s="20" t="str"/>
      <x:c r="Q116" s="20" t="str"/>
      <x:c r="R116" s="20" t="str"/>
      <x:c r="S116" s="20" t="str">
        <x:v>Initial Setup</x:v>
      </x:c>
      <x:c r="T116" s="32" t="n">
        <x:v>46229.833333333336</x:v>
      </x:c>
      <x:c r="U116" s="20" t="str"/>
      <x:c r="V116" s="20" t="str">
        <x:v>Belum Diverifikasi</x:v>
      </x:c>
      <x:c r="W116" s="20" t="str"/>
      <x:c r="X116" s="20" t="str"/>
      <x:c r="Y116" s="20" t="str">
        <x:v>Ya</x:v>
      </x:c>
      <x:c r="Z116" s="20" t="str">
        <x:v>Semua</x:v>
      </x:c>
      <x:c r="AA116" s="33" t="n">
        <x:f>IF(L116="","",L116-TODAY())</x:f>
        <x:v>9</x:v>
      </x:c>
      <x:c r="AB116" s="20" t="str">
        <x:f>IF(AND(L116&lt;&gt;"",L116&lt;TODAY(),M116&lt;&gt;"Selesai &amp; Terverifikasi",M116&lt;&gt;"Tidak Berlaku"),"OVERDUE","")</x:f>
      </x:c>
      <x:c r="AC116" s="20" t="n">
        <x:f>IF(J116="Critical",4,IF(J116="High",3,IF(J116="Medium",2,1)))</x:f>
        <x:v>4</x:v>
      </x:c>
      <x:c r="AD116" s="20" t="n">
        <x:f>N116*AC116</x:f>
        <x:v>0</x:v>
      </x:c>
    </x:row>
    <x:row r="117">
      <x:c r="A117" s="20" t="str">
        <x:v>TSK-116</x:v>
      </x:c>
      <x:c r="B117" s="20" t="str">
        <x:v>EVT-GEN</x:v>
      </x:c>
      <x:c r="C117" s="20" t="str">
        <x:v>Seluruh Venue</x:v>
      </x:c>
      <x:c r="D117" s="20" t="str">
        <x:v>Consumption</x:v>
      </x:c>
      <x:c r="E117" s="20" t="str">
        <x:v>Finalisasi menu dan vendor</x:v>
      </x:c>
      <x:c r="F117" s="20" t="str">
        <x:v>Menu, porsi, service style dan vendor disetujui.</x:v>
      </x:c>
      <x:c r="G117" s="20" t="str">
        <x:v>Shared</x:v>
      </x:c>
      <x:c r="H117" s="20" t="str">
        <x:v>Peralatan, Perlengkapan &amp; Konsumsi</x:v>
      </x:c>
      <x:c r="I117" s="20" t="str">
        <x:v>Mulia Zahrin</x:v>
      </x:c>
      <x:c r="J117" s="20" t="str">
        <x:v>Critical</x:v>
      </x:c>
      <x:c r="K117" s="30" t="n">
        <x:v>46230</x:v>
      </x:c>
      <x:c r="L117" s="30" t="n">
        <x:v>46237</x:v>
      </x:c>
      <x:c r="M117" s="20" t="str">
        <x:v>Belum Dimulai</x:v>
      </x:c>
      <x:c r="N117" s="31" t="n">
        <x:v>0</x:v>
      </x:c>
      <x:c r="O117" s="20" t="str">
        <x:f>IF(M117="Selesai &amp; Terverifikasi","Ready",IF(M117="Terkendala","Not Ready",IF(AND(J117="Critical",L117&lt;=TODAY()+3,N117&lt;100),"At Risk","In Progress")))</x:f>
        <x:v>In Progress</x:v>
      </x:c>
      <x:c r="P117" s="20" t="str"/>
      <x:c r="Q117" s="20" t="str"/>
      <x:c r="R117" s="20" t="str"/>
      <x:c r="S117" s="20" t="str">
        <x:v>Initial Setup</x:v>
      </x:c>
      <x:c r="T117" s="32" t="n">
        <x:v>46229.833333333336</x:v>
      </x:c>
      <x:c r="U117" s="20" t="str"/>
      <x:c r="V117" s="20" t="str">
        <x:v>Belum Diverifikasi</x:v>
      </x:c>
      <x:c r="W117" s="20" t="str"/>
      <x:c r="X117" s="20" t="str"/>
      <x:c r="Y117" s="20" t="str">
        <x:v>Ya</x:v>
      </x:c>
      <x:c r="Z117" s="20" t="str">
        <x:v>Semua</x:v>
      </x:c>
      <x:c r="AA117" s="33" t="n">
        <x:f>IF(L117="","",L117-TODAY())</x:f>
        <x:v>8</x:v>
      </x:c>
      <x:c r="AB117" s="20" t="str">
        <x:f>IF(AND(L117&lt;&gt;"",L117&lt;TODAY(),M117&lt;&gt;"Selesai &amp; Terverifikasi",M117&lt;&gt;"Tidak Berlaku"),"OVERDUE","")</x:f>
      </x:c>
      <x:c r="AC117" s="20" t="n">
        <x:f>IF(J117="Critical",4,IF(J117="High",3,IF(J117="Medium",2,1)))</x:f>
        <x:v>4</x:v>
      </x:c>
      <x:c r="AD117" s="20" t="n">
        <x:f>N117*AC117</x:f>
        <x:v>0</x:v>
      </x:c>
    </x:row>
    <x:row r="118">
      <x:c r="A118" s="20" t="str">
        <x:v>TSK-117</x:v>
      </x:c>
      <x:c r="B118" s="20" t="str">
        <x:v>EVT-GEN</x:v>
      </x:c>
      <x:c r="C118" s="20" t="str">
        <x:v>Seluruh Venue</x:v>
      </x:c>
      <x:c r="D118" s="20" t="str">
        <x:v>Consumption</x:v>
      </x:c>
      <x:c r="E118" s="20" t="str">
        <x:v>Kumpulkan kebutuhan diet khusus</x:v>
      </x:c>
      <x:c r="F118" s="20" t="str">
        <x:v>Alergi, vegetarian, halal dan kebutuhan medis tercatat.</x:v>
      </x:c>
      <x:c r="G118" s="20" t="str">
        <x:v>Shared</x:v>
      </x:c>
      <x:c r="H118" s="20" t="str">
        <x:v>Peralatan, Perlengkapan &amp; Konsumsi</x:v>
      </x:c>
      <x:c r="I118" s="20" t="str">
        <x:v>Mulia Zahrin</x:v>
      </x:c>
      <x:c r="J118" s="20" t="str">
        <x:v>High</x:v>
      </x:c>
      <x:c r="K118" s="30" t="n">
        <x:v>46230</x:v>
      </x:c>
      <x:c r="L118" s="30" t="n">
        <x:v>46239</x:v>
      </x:c>
      <x:c r="M118" s="20" t="str">
        <x:v>Belum Dimulai</x:v>
      </x:c>
      <x:c r="N118" s="31" t="n">
        <x:v>0</x:v>
      </x:c>
      <x:c r="O118" s="20" t="str">
        <x:f>IF(M118="Selesai &amp; Terverifikasi","Ready",IF(M118="Terkendala","Not Ready",IF(AND(J118="Critical",L118&lt;=TODAY()+3,N118&lt;100),"At Risk","In Progress")))</x:f>
        <x:v>In Progress</x:v>
      </x:c>
      <x:c r="P118" s="20" t="str"/>
      <x:c r="Q118" s="20" t="str"/>
      <x:c r="R118" s="20" t="str"/>
      <x:c r="S118" s="20" t="str">
        <x:v>Initial Setup</x:v>
      </x:c>
      <x:c r="T118" s="32" t="n">
        <x:v>46229.833333333336</x:v>
      </x:c>
      <x:c r="U118" s="20" t="str"/>
      <x:c r="V118" s="20" t="str">
        <x:v>Belum Diverifikasi</x:v>
      </x:c>
      <x:c r="W118" s="20" t="str"/>
      <x:c r="X118" s="20" t="str"/>
      <x:c r="Y118" s="20" t="str">
        <x:v>Ya</x:v>
      </x:c>
      <x:c r="Z118" s="20" t="str">
        <x:v>Semua</x:v>
      </x:c>
      <x:c r="AA118" s="33" t="n">
        <x:f>IF(L118="","",L118-TODAY())</x:f>
        <x:v>10</x:v>
      </x:c>
      <x:c r="AB118" s="20" t="str">
        <x:f>IF(AND(L118&lt;&gt;"",L118&lt;TODAY(),M118&lt;&gt;"Selesai &amp; Terverifikasi",M118&lt;&gt;"Tidak Berlaku"),"OVERDUE","")</x:f>
      </x:c>
      <x:c r="AC118" s="20" t="n">
        <x:f>IF(J118="Critical",4,IF(J118="High",3,IF(J118="Medium",2,1)))</x:f>
        <x:v>3</x:v>
      </x:c>
      <x:c r="AD118" s="20" t="n">
        <x:f>N118*AC118</x:f>
        <x:v>0</x:v>
      </x:c>
    </x:row>
    <x:row r="119">
      <x:c r="A119" s="20" t="str">
        <x:v>TSK-118</x:v>
      </x:c>
      <x:c r="B119" s="20" t="str">
        <x:v>EVT-GEN</x:v>
      </x:c>
      <x:c r="C119" s="20" t="str">
        <x:v>Seluruh Venue</x:v>
      </x:c>
      <x:c r="D119" s="20" t="str">
        <x:v>Consumption</x:v>
      </x:c>
      <x:c r="E119" s="20" t="str">
        <x:v>Lakukan food tasting</x:v>
      </x:c>
      <x:c r="F119" s="20" t="str">
        <x:v>Menu utama dan VIP service diuji serta disetujui.</x:v>
      </x:c>
      <x:c r="G119" s="20" t="str">
        <x:v>Shared</x:v>
      </x:c>
      <x:c r="H119" s="20" t="str">
        <x:v>Peralatan, Perlengkapan &amp; Konsumsi</x:v>
      </x:c>
      <x:c r="I119" s="20" t="str">
        <x:v>Mulia Zahrin</x:v>
      </x:c>
      <x:c r="J119" s="20" t="str">
        <x:v>High</x:v>
      </x:c>
      <x:c r="K119" s="30" t="n">
        <x:v>46230</x:v>
      </x:c>
      <x:c r="L119" s="30" t="n">
        <x:v>46240</x:v>
      </x:c>
      <x:c r="M119" s="20" t="str">
        <x:v>Belum Dimulai</x:v>
      </x:c>
      <x:c r="N119" s="31" t="n">
        <x:v>0</x:v>
      </x:c>
      <x:c r="O119" s="20" t="str">
        <x:f>IF(M119="Selesai &amp; Terverifikasi","Ready",IF(M119="Terkendala","Not Ready",IF(AND(J119="Critical",L119&lt;=TODAY()+3,N119&lt;100),"At Risk","In Progress")))</x:f>
        <x:v>In Progress</x:v>
      </x:c>
      <x:c r="P119" s="20" t="str"/>
      <x:c r="Q119" s="20" t="str"/>
      <x:c r="R119" s="20" t="str"/>
      <x:c r="S119" s="20" t="str">
        <x:v>Initial Setup</x:v>
      </x:c>
      <x:c r="T119" s="32" t="n">
        <x:v>46229.833333333336</x:v>
      </x:c>
      <x:c r="U119" s="20" t="str"/>
      <x:c r="V119" s="20" t="str">
        <x:v>Belum Diverifikasi</x:v>
      </x:c>
      <x:c r="W119" s="20" t="str"/>
      <x:c r="X119" s="20" t="str"/>
      <x:c r="Y119" s="20" t="str">
        <x:v>Ya</x:v>
      </x:c>
      <x:c r="Z119" s="20" t="str">
        <x:v>Semua</x:v>
      </x:c>
      <x:c r="AA119" s="33" t="n">
        <x:f>IF(L119="","",L119-TODAY())</x:f>
        <x:v>11</x:v>
      </x:c>
      <x:c r="AB119" s="20" t="str">
        <x:f>IF(AND(L119&lt;&gt;"",L119&lt;TODAY(),M119&lt;&gt;"Selesai &amp; Terverifikasi",M119&lt;&gt;"Tidak Berlaku"),"OVERDUE","")</x:f>
      </x:c>
      <x:c r="AC119" s="20" t="n">
        <x:f>IF(J119="Critical",4,IF(J119="High",3,IF(J119="Medium",2,1)))</x:f>
        <x:v>3</x:v>
      </x:c>
      <x:c r="AD119" s="20" t="n">
        <x:f>N119*AC119</x:f>
        <x:v>0</x:v>
      </x:c>
    </x:row>
    <x:row r="120">
      <x:c r="A120" s="20" t="str">
        <x:v>TSK-119</x:v>
      </x:c>
      <x:c r="B120" s="20" t="str">
        <x:v>EVT-GEN</x:v>
      </x:c>
      <x:c r="C120" s="20" t="str">
        <x:v>Seluruh Venue</x:v>
      </x:c>
      <x:c r="D120" s="20" t="str">
        <x:v>Consumption</x:v>
      </x:c>
      <x:c r="E120" s="20" t="str">
        <x:v>Finalisasi layout serving dan seating</x:v>
      </x:c>
      <x:c r="F120" s="20" t="str">
        <x:v>Buffet, VIP service, alur antrean dan waste area aman.</x:v>
      </x:c>
      <x:c r="G120" s="20" t="str">
        <x:v>Shared</x:v>
      </x:c>
      <x:c r="H120" s="20" t="str">
        <x:v>Peralatan, Perlengkapan &amp; Konsumsi</x:v>
      </x:c>
      <x:c r="I120" s="20" t="str">
        <x:v>Mulia Zahrin</x:v>
      </x:c>
      <x:c r="J120" s="20" t="str">
        <x:v>High</x:v>
      </x:c>
      <x:c r="K120" s="30" t="n">
        <x:v>46230</x:v>
      </x:c>
      <x:c r="L120" s="30" t="n">
        <x:v>46241</x:v>
      </x:c>
      <x:c r="M120" s="20" t="str">
        <x:v>Belum Dimulai</x:v>
      </x:c>
      <x:c r="N120" s="31" t="n">
        <x:v>0</x:v>
      </x:c>
      <x:c r="O120" s="20" t="str">
        <x:f>IF(M120="Selesai &amp; Terverifikasi","Ready",IF(M120="Terkendala","Not Ready",IF(AND(J120="Critical",L120&lt;=TODAY()+3,N120&lt;100),"At Risk","In Progress")))</x:f>
        <x:v>In Progress</x:v>
      </x:c>
      <x:c r="P120" s="20" t="str"/>
      <x:c r="Q120" s="20" t="str"/>
      <x:c r="R120" s="20" t="str"/>
      <x:c r="S120" s="20" t="str">
        <x:v>Initial Setup</x:v>
      </x:c>
      <x:c r="T120" s="32" t="n">
        <x:v>46229.833333333336</x:v>
      </x:c>
      <x:c r="U120" s="20" t="str"/>
      <x:c r="V120" s="20" t="str">
        <x:v>Belum Diverifikasi</x:v>
      </x:c>
      <x:c r="W120" s="20" t="str"/>
      <x:c r="X120" s="20" t="str"/>
      <x:c r="Y120" s="20" t="str">
        <x:v>Ya</x:v>
      </x:c>
      <x:c r="Z120" s="20" t="str">
        <x:v>Semua</x:v>
      </x:c>
      <x:c r="AA120" s="33" t="n">
        <x:f>IF(L120="","",L120-TODAY())</x:f>
        <x:v>12</x:v>
      </x:c>
      <x:c r="AB120" s="20" t="str">
        <x:f>IF(AND(L120&lt;&gt;"",L120&lt;TODAY(),M120&lt;&gt;"Selesai &amp; Terverifikasi",M120&lt;&gt;"Tidak Berlaku"),"OVERDUE","")</x:f>
      </x:c>
      <x:c r="AC120" s="20" t="n">
        <x:f>IF(J120="Critical",4,IF(J120="High",3,IF(J120="Medium",2,1)))</x:f>
        <x:v>3</x:v>
      </x:c>
      <x:c r="AD120" s="20" t="n">
        <x:f>N120*AC120</x:f>
        <x:v>0</x:v>
      </x:c>
    </x:row>
    <x:row r="121">
      <x:c r="A121" s="20" t="str">
        <x:v>TSK-120</x:v>
      </x:c>
      <x:c r="B121" s="20" t="str">
        <x:v>EVT-GEN</x:v>
      </x:c>
      <x:c r="C121" s="20" t="str">
        <x:v>Seluruh Venue</x:v>
      </x:c>
      <x:c r="D121" s="20" t="str">
        <x:v>Consumption</x:v>
      </x:c>
      <x:c r="E121" s="20" t="str">
        <x:v>Siapkan coffee break Rakor Dirut</x:v>
      </x:c>
      <x:c r="F121" s="20" t="str">
        <x:v>Coffee break ruang tunggu sesuai jumlah peserta dan protokol.</x:v>
      </x:c>
      <x:c r="G121" s="20" t="str">
        <x:v>Shared</x:v>
      </x:c>
      <x:c r="H121" s="20" t="str">
        <x:v>Peralatan, Perlengkapan &amp; Konsumsi</x:v>
      </x:c>
      <x:c r="I121" s="20" t="str">
        <x:v>Mulia Zahrin</x:v>
      </x:c>
      <x:c r="J121" s="20" t="str">
        <x:v>High</x:v>
      </x:c>
      <x:c r="K121" s="30" t="n">
        <x:v>46230</x:v>
      </x:c>
      <x:c r="L121" s="30" t="n">
        <x:v>46242</x:v>
      </x:c>
      <x:c r="M121" s="20" t="str">
        <x:v>Belum Dimulai</x:v>
      </x:c>
      <x:c r="N121" s="31" t="n">
        <x:v>0</x:v>
      </x:c>
      <x:c r="O121" s="20" t="str">
        <x:f>IF(M121="Selesai &amp; Terverifikasi","Ready",IF(M121="Terkendala","Not Ready",IF(AND(J121="Critical",L121&lt;=TODAY()+3,N121&lt;100),"At Risk","In Progress")))</x:f>
        <x:v>In Progress</x:v>
      </x:c>
      <x:c r="P121" s="20" t="str"/>
      <x:c r="Q121" s="20" t="str"/>
      <x:c r="R121" s="20" t="str"/>
      <x:c r="S121" s="20" t="str">
        <x:v>Initial Setup</x:v>
      </x:c>
      <x:c r="T121" s="32" t="n">
        <x:v>46229.833333333336</x:v>
      </x:c>
      <x:c r="U121" s="20" t="str"/>
      <x:c r="V121" s="20" t="str">
        <x:v>Belum Diverifikasi</x:v>
      </x:c>
      <x:c r="W121" s="20" t="str"/>
      <x:c r="X121" s="20" t="str"/>
      <x:c r="Y121" s="20" t="str">
        <x:v>Ya</x:v>
      </x:c>
      <x:c r="Z121" s="20" t="str">
        <x:v>Semua</x:v>
      </x:c>
      <x:c r="AA121" s="33" t="n">
        <x:f>IF(L121="","",L121-TODAY())</x:f>
        <x:v>13</x:v>
      </x:c>
      <x:c r="AB121" s="20" t="str">
        <x:f>IF(AND(L121&lt;&gt;"",L121&lt;TODAY(),M121&lt;&gt;"Selesai &amp; Terverifikasi",M121&lt;&gt;"Tidak Berlaku"),"OVERDUE","")</x:f>
      </x:c>
      <x:c r="AC121" s="20" t="n">
        <x:f>IF(J121="Critical",4,IF(J121="High",3,IF(J121="Medium",2,1)))</x:f>
        <x:v>3</x:v>
      </x:c>
      <x:c r="AD121" s="20" t="n">
        <x:f>N121*AC121</x:f>
        <x:v>0</x:v>
      </x:c>
    </x:row>
    <x:row r="122">
      <x:c r="A122" s="20" t="str">
        <x:v>TSK-121</x:v>
      </x:c>
      <x:c r="B122" s="20" t="str">
        <x:v>EVT-GEN</x:v>
      </x:c>
      <x:c r="C122" s="20" t="str">
        <x:v>Seluruh Venue</x:v>
      </x:c>
      <x:c r="D122" s="20" t="str">
        <x:v>Consumption</x:v>
      </x:c>
      <x:c r="E122" s="20" t="str">
        <x:v>Siapkan konsumsi Plenary</x:v>
      </x:c>
      <x:c r="F122" s="20" t="str">
        <x:v>Air minum, coffee break dan kebutuhan pembicara tersedia.</x:v>
      </x:c>
      <x:c r="G122" s="20" t="str">
        <x:v>Shared</x:v>
      </x:c>
      <x:c r="H122" s="20" t="str">
        <x:v>Peralatan, Perlengkapan &amp; Konsumsi</x:v>
      </x:c>
      <x:c r="I122" s="20" t="str">
        <x:v>Mulia Zahrin</x:v>
      </x:c>
      <x:c r="J122" s="20" t="str">
        <x:v>High</x:v>
      </x:c>
      <x:c r="K122" s="30" t="n">
        <x:v>46230</x:v>
      </x:c>
      <x:c r="L122" s="30" t="n">
        <x:v>46242</x:v>
      </x:c>
      <x:c r="M122" s="20" t="str">
        <x:v>Belum Dimulai</x:v>
      </x:c>
      <x:c r="N122" s="31" t="n">
        <x:v>0</x:v>
      </x:c>
      <x:c r="O122" s="20" t="str">
        <x:f>IF(M122="Selesai &amp; Terverifikasi","Ready",IF(M122="Terkendala","Not Ready",IF(AND(J122="Critical",L122&lt;=TODAY()+3,N122&lt;100),"At Risk","In Progress")))</x:f>
        <x:v>In Progress</x:v>
      </x:c>
      <x:c r="P122" s="20" t="str"/>
      <x:c r="Q122" s="20" t="str"/>
      <x:c r="R122" s="20" t="str"/>
      <x:c r="S122" s="20" t="str">
        <x:v>Initial Setup</x:v>
      </x:c>
      <x:c r="T122" s="32" t="n">
        <x:v>46229.833333333336</x:v>
      </x:c>
      <x:c r="U122" s="20" t="str"/>
      <x:c r="V122" s="20" t="str">
        <x:v>Belum Diverifikasi</x:v>
      </x:c>
      <x:c r="W122" s="20" t="str"/>
      <x:c r="X122" s="20" t="str"/>
      <x:c r="Y122" s="20" t="str">
        <x:v>Ya</x:v>
      </x:c>
      <x:c r="Z122" s="20" t="str">
        <x:v>Semua</x:v>
      </x:c>
      <x:c r="AA122" s="33" t="n">
        <x:f>IF(L122="","",L122-TODAY())</x:f>
        <x:v>13</x:v>
      </x:c>
      <x:c r="AB122" s="20" t="str">
        <x:f>IF(AND(L122&lt;&gt;"",L122&lt;TODAY(),M122&lt;&gt;"Selesai &amp; Terverifikasi",M122&lt;&gt;"Tidak Berlaku"),"OVERDUE","")</x:f>
      </x:c>
      <x:c r="AC122" s="20" t="n">
        <x:f>IF(J122="Critical",4,IF(J122="High",3,IF(J122="Medium",2,1)))</x:f>
        <x:v>3</x:v>
      </x:c>
      <x:c r="AD122" s="20" t="n">
        <x:f>N122*AC122</x:f>
        <x:v>0</x:v>
      </x:c>
    </x:row>
    <x:row r="123">
      <x:c r="A123" s="20" t="str">
        <x:v>TSK-122</x:v>
      </x:c>
      <x:c r="B123" s="20" t="str">
        <x:v>EVT-GEN</x:v>
      </x:c>
      <x:c r="C123" s="20" t="str">
        <x:v>Seluruh Venue</x:v>
      </x:c>
      <x:c r="D123" s="20" t="str">
        <x:v>Consumption</x:v>
      </x:c>
      <x:c r="E123" s="20" t="str">
        <x:v>Siapkan Ishoma dan Dinner Selasa</x:v>
      </x:c>
      <x:c r="F123" s="20" t="str">
        <x:v>Tenda makan, service, jumlah kursi dan menu siap.</x:v>
      </x:c>
      <x:c r="G123" s="20" t="str">
        <x:v>Shared</x:v>
      </x:c>
      <x:c r="H123" s="20" t="str">
        <x:v>Peralatan, Perlengkapan &amp; Konsumsi</x:v>
      </x:c>
      <x:c r="I123" s="20" t="str">
        <x:v>Mulia Zahrin</x:v>
      </x:c>
      <x:c r="J123" s="20" t="str">
        <x:v>Critical</x:v>
      </x:c>
      <x:c r="K123" s="30" t="n">
        <x:v>46230</x:v>
      </x:c>
      <x:c r="L123" s="30" t="n">
        <x:v>46242</x:v>
      </x:c>
      <x:c r="M123" s="20" t="str">
        <x:v>Belum Dimulai</x:v>
      </x:c>
      <x:c r="N123" s="31" t="n">
        <x:v>0</x:v>
      </x:c>
      <x:c r="O123" s="20" t="str">
        <x:f>IF(M123="Selesai &amp; Terverifikasi","Ready",IF(M123="Terkendala","Not Ready",IF(AND(J123="Critical",L123&lt;=TODAY()+3,N123&lt;100),"At Risk","In Progress")))</x:f>
        <x:v>In Progress</x:v>
      </x:c>
      <x:c r="P123" s="20" t="str"/>
      <x:c r="Q123" s="20" t="str"/>
      <x:c r="R123" s="20" t="str"/>
      <x:c r="S123" s="20" t="str">
        <x:v>Initial Setup</x:v>
      </x:c>
      <x:c r="T123" s="32" t="n">
        <x:v>46229.833333333336</x:v>
      </x:c>
      <x:c r="U123" s="20" t="str"/>
      <x:c r="V123" s="20" t="str">
        <x:v>Belum Diverifikasi</x:v>
      </x:c>
      <x:c r="W123" s="20" t="str"/>
      <x:c r="X123" s="20" t="str"/>
      <x:c r="Y123" s="20" t="str">
        <x:v>Ya</x:v>
      </x:c>
      <x:c r="Z123" s="20" t="str">
        <x:v>Semua</x:v>
      </x:c>
      <x:c r="AA123" s="33" t="n">
        <x:f>IF(L123="","",L123-TODAY())</x:f>
        <x:v>13</x:v>
      </x:c>
      <x:c r="AB123" s="20" t="str">
        <x:f>IF(AND(L123&lt;&gt;"",L123&lt;TODAY(),M123&lt;&gt;"Selesai &amp; Terverifikasi",M123&lt;&gt;"Tidak Berlaku"),"OVERDUE","")</x:f>
      </x:c>
      <x:c r="AC123" s="20" t="n">
        <x:f>IF(J123="Critical",4,IF(J123="High",3,IF(J123="Medium",2,1)))</x:f>
        <x:v>4</x:v>
      </x:c>
      <x:c r="AD123" s="20" t="n">
        <x:f>N123*AC123</x:f>
        <x:v>0</x:v>
      </x:c>
    </x:row>
    <x:row r="124">
      <x:c r="A124" s="20" t="str">
        <x:v>TSK-123</x:v>
      </x:c>
      <x:c r="B124" s="20" t="str">
        <x:v>EVT-GEN</x:v>
      </x:c>
      <x:c r="C124" s="20" t="str">
        <x:v>Seluruh Venue</x:v>
      </x:c>
      <x:c r="D124" s="20" t="str">
        <x:v>Consumption</x:v>
      </x:c>
      <x:c r="E124" s="20" t="str">
        <x:v>Siapkan Welcoming Dinner</x:v>
      </x:c>
      <x:c r="F124" s="20" t="str">
        <x:v>Menu, seating, entertainment dan protokol layanan siap.</x:v>
      </x:c>
      <x:c r="G124" s="20" t="str">
        <x:v>Shared</x:v>
      </x:c>
      <x:c r="H124" s="20" t="str">
        <x:v>Peralatan, Perlengkapan &amp; Konsumsi</x:v>
      </x:c>
      <x:c r="I124" s="20" t="str">
        <x:v>Mulia Zahrin</x:v>
      </x:c>
      <x:c r="J124" s="20" t="str">
        <x:v>Critical</x:v>
      </x:c>
      <x:c r="K124" s="30" t="n">
        <x:v>46230</x:v>
      </x:c>
      <x:c r="L124" s="30" t="n">
        <x:v>46242</x:v>
      </x:c>
      <x:c r="M124" s="20" t="str">
        <x:v>Belum Dimulai</x:v>
      </x:c>
      <x:c r="N124" s="31" t="n">
        <x:v>0</x:v>
      </x:c>
      <x:c r="O124" s="20" t="str">
        <x:f>IF(M124="Selesai &amp; Terverifikasi","Ready",IF(M124="Terkendala","Not Ready",IF(AND(J124="Critical",L124&lt;=TODAY()+3,N124&lt;100),"At Risk","In Progress")))</x:f>
        <x:v>In Progress</x:v>
      </x:c>
      <x:c r="P124" s="20" t="str"/>
      <x:c r="Q124" s="20" t="str"/>
      <x:c r="R124" s="20" t="str"/>
      <x:c r="S124" s="20" t="str">
        <x:v>Initial Setup</x:v>
      </x:c>
      <x:c r="T124" s="32" t="n">
        <x:v>46229.833333333336</x:v>
      </x:c>
      <x:c r="U124" s="20" t="str"/>
      <x:c r="V124" s="20" t="str">
        <x:v>Belum Diverifikasi</x:v>
      </x:c>
      <x:c r="W124" s="20" t="str"/>
      <x:c r="X124" s="20" t="str"/>
      <x:c r="Y124" s="20" t="str">
        <x:v>Ya</x:v>
      </x:c>
      <x:c r="Z124" s="20" t="str">
        <x:v>Semua</x:v>
      </x:c>
      <x:c r="AA124" s="33" t="n">
        <x:f>IF(L124="","",L124-TODAY())</x:f>
        <x:v>13</x:v>
      </x:c>
      <x:c r="AB124" s="20" t="str">
        <x:f>IF(AND(L124&lt;&gt;"",L124&lt;TODAY(),M124&lt;&gt;"Selesai &amp; Terverifikasi",M124&lt;&gt;"Tidak Berlaku"),"OVERDUE","")</x:f>
      </x:c>
      <x:c r="AC124" s="20" t="n">
        <x:f>IF(J124="Critical",4,IF(J124="High",3,IF(J124="Medium",2,1)))</x:f>
        <x:v>4</x:v>
      </x:c>
      <x:c r="AD124" s="20" t="n">
        <x:f>N124*AC124</x:f>
        <x:v>0</x:v>
      </x:c>
    </x:row>
    <x:row r="125">
      <x:c r="A125" s="20" t="str">
        <x:v>TSK-124</x:v>
      </x:c>
      <x:c r="B125" s="20" t="str">
        <x:v>EVT-GEN</x:v>
      </x:c>
      <x:c r="C125" s="20" t="str">
        <x:v>Seluruh Venue</x:v>
      </x:c>
      <x:c r="D125" s="20" t="str">
        <x:v>Consumption</x:v>
      </x:c>
      <x:c r="E125" s="20" t="str">
        <x:v>Siapkan konsumsi panitia, driver dan petugas</x:v>
      </x:c>
      <x:c r="F125" s="20" t="str">
        <x:v>Meal box/shift meal tersedia tanpa mengganggu operasional.</x:v>
      </x:c>
      <x:c r="G125" s="20" t="str">
        <x:v>Shared</x:v>
      </x:c>
      <x:c r="H125" s="20" t="str">
        <x:v>Peralatan, Perlengkapan &amp; Konsumsi</x:v>
      </x:c>
      <x:c r="I125" s="20" t="str">
        <x:v>Mulia Zahrin</x:v>
      </x:c>
      <x:c r="J125" s="20" t="str">
        <x:v>Medium</x:v>
      </x:c>
      <x:c r="K125" s="30" t="n">
        <x:v>46230</x:v>
      </x:c>
      <x:c r="L125" s="30" t="n">
        <x:v>46242</x:v>
      </x:c>
      <x:c r="M125" s="20" t="str">
        <x:v>Belum Dimulai</x:v>
      </x:c>
      <x:c r="N125" s="31" t="n">
        <x:v>0</x:v>
      </x:c>
      <x:c r="O125" s="20" t="str">
        <x:f>IF(M125="Selesai &amp; Terverifikasi","Ready",IF(M125="Terkendala","Not Ready",IF(AND(J125="Critical",L125&lt;=TODAY()+3,N125&lt;100),"At Risk","In Progress")))</x:f>
        <x:v>In Progress</x:v>
      </x:c>
      <x:c r="P125" s="20" t="str"/>
      <x:c r="Q125" s="20" t="str"/>
      <x:c r="R125" s="20" t="str"/>
      <x:c r="S125" s="20" t="str">
        <x:v>Initial Setup</x:v>
      </x:c>
      <x:c r="T125" s="32" t="n">
        <x:v>46229.833333333336</x:v>
      </x:c>
      <x:c r="U125" s="20" t="str"/>
      <x:c r="V125" s="20" t="str">
        <x:v>Belum Diverifikasi</x:v>
      </x:c>
      <x:c r="W125" s="20" t="str"/>
      <x:c r="X125" s="20" t="str"/>
      <x:c r="Y125" s="20" t="str">
        <x:v>Ya</x:v>
      </x:c>
      <x:c r="Z125" s="20" t="str">
        <x:v>Semua</x:v>
      </x:c>
      <x:c r="AA125" s="33" t="n">
        <x:f>IF(L125="","",L125-TODAY())</x:f>
        <x:v>13</x:v>
      </x:c>
      <x:c r="AB125" s="20" t="str">
        <x:f>IF(AND(L125&lt;&gt;"",L125&lt;TODAY(),M125&lt;&gt;"Selesai &amp; Terverifikasi",M125&lt;&gt;"Tidak Berlaku"),"OVERDUE","")</x:f>
      </x:c>
      <x:c r="AC125" s="20" t="n">
        <x:f>IF(J125="Critical",4,IF(J125="High",3,IF(J125="Medium",2,1)))</x:f>
        <x:v>2</x:v>
      </x:c>
      <x:c r="AD125" s="20" t="n">
        <x:f>N125*AC125</x:f>
        <x:v>0</x:v>
      </x:c>
    </x:row>
    <x:row r="126">
      <x:c r="A126" s="20" t="str">
        <x:v>TSK-125</x:v>
      </x:c>
      <x:c r="B126" s="20" t="str">
        <x:v>EVT-GEN</x:v>
      </x:c>
      <x:c r="C126" s="20" t="str">
        <x:v>Seluruh Venue</x:v>
      </x:c>
      <x:c r="D126" s="20" t="str">
        <x:v>Consumption</x:v>
      </x:c>
      <x:c r="E126" s="20" t="str">
        <x:v>Siapkan contingency stock</x:v>
      </x:c>
      <x:c r="F126" s="20" t="str">
        <x:v>Buffer porsi, air dan kebutuhan darurat tersedia.</x:v>
      </x:c>
      <x:c r="G126" s="20" t="str">
        <x:v>Shared</x:v>
      </x:c>
      <x:c r="H126" s="20" t="str">
        <x:v>Peralatan, Perlengkapan &amp; Konsumsi</x:v>
      </x:c>
      <x:c r="I126" s="20" t="str">
        <x:v>Mulia Zahrin</x:v>
      </x:c>
      <x:c r="J126" s="20" t="str">
        <x:v>High</x:v>
      </x:c>
      <x:c r="K126" s="30" t="n">
        <x:v>46230</x:v>
      </x:c>
      <x:c r="L126" s="30" t="n">
        <x:v>46242</x:v>
      </x:c>
      <x:c r="M126" s="20" t="str">
        <x:v>Belum Dimulai</x:v>
      </x:c>
      <x:c r="N126" s="31" t="n">
        <x:v>0</x:v>
      </x:c>
      <x:c r="O126" s="20" t="str">
        <x:f>IF(M126="Selesai &amp; Terverifikasi","Ready",IF(M126="Terkendala","Not Ready",IF(AND(J126="Critical",L126&lt;=TODAY()+3,N126&lt;100),"At Risk","In Progress")))</x:f>
        <x:v>In Progress</x:v>
      </x:c>
      <x:c r="P126" s="20" t="str"/>
      <x:c r="Q126" s="20" t="str"/>
      <x:c r="R126" s="20" t="str"/>
      <x:c r="S126" s="20" t="str">
        <x:v>Initial Setup</x:v>
      </x:c>
      <x:c r="T126" s="32" t="n">
        <x:v>46229.833333333336</x:v>
      </x:c>
      <x:c r="U126" s="20" t="str"/>
      <x:c r="V126" s="20" t="str">
        <x:v>Belum Diverifikasi</x:v>
      </x:c>
      <x:c r="W126" s="20" t="str"/>
      <x:c r="X126" s="20" t="str"/>
      <x:c r="Y126" s="20" t="str">
        <x:v>Ya</x:v>
      </x:c>
      <x:c r="Z126" s="20" t="str">
        <x:v>Semua</x:v>
      </x:c>
      <x:c r="AA126" s="33" t="n">
        <x:f>IF(L126="","",L126-TODAY())</x:f>
        <x:v>13</x:v>
      </x:c>
      <x:c r="AB126" s="20" t="str">
        <x:f>IF(AND(L126&lt;&gt;"",L126&lt;TODAY(),M126&lt;&gt;"Selesai &amp; Terverifikasi",M126&lt;&gt;"Tidak Berlaku"),"OVERDUE","")</x:f>
      </x:c>
      <x:c r="AC126" s="20" t="n">
        <x:f>IF(J126="Critical",4,IF(J126="High",3,IF(J126="Medium",2,1)))</x:f>
        <x:v>3</x:v>
      </x:c>
      <x:c r="AD126" s="20" t="n">
        <x:f>N126*AC126</x:f>
        <x:v>0</x:v>
      </x:c>
    </x:row>
    <x:row r="127">
      <x:c r="A127" s="20" t="str">
        <x:v>TSK-126</x:v>
      </x:c>
      <x:c r="B127" s="20" t="str">
        <x:v>EVT-GEN</x:v>
      </x:c>
      <x:c r="C127" s="20" t="str">
        <x:v>Seluruh Venue</x:v>
      </x:c>
      <x:c r="D127" s="20" t="str">
        <x:v>Consumption</x:v>
      </x:c>
      <x:c r="E127" s="20" t="str">
        <x:v>Final inspection hygiene dan food safety</x:v>
      </x:c>
      <x:c r="F127" s="20" t="str">
        <x:v>Dapur, transport makanan, suhu dan kebersihan diverifikasi.</x:v>
      </x:c>
      <x:c r="G127" s="20" t="str">
        <x:v>Shared</x:v>
      </x:c>
      <x:c r="H127" s="20" t="str">
        <x:v>Peralatan, Perlengkapan &amp; Konsumsi</x:v>
      </x:c>
      <x:c r="I127" s="20" t="str">
        <x:v>Mulia Zahrin</x:v>
      </x:c>
      <x:c r="J127" s="20" t="str">
        <x:v>Critical</x:v>
      </x:c>
      <x:c r="K127" s="30" t="n">
        <x:v>46230</x:v>
      </x:c>
      <x:c r="L127" s="30" t="n">
        <x:v>46243</x:v>
      </x:c>
      <x:c r="M127" s="20" t="str">
        <x:v>Belum Dimulai</x:v>
      </x:c>
      <x:c r="N127" s="31" t="n">
        <x:v>0</x:v>
      </x:c>
      <x:c r="O127" s="20" t="str">
        <x:f>IF(M127="Selesai &amp; Terverifikasi","Ready",IF(M127="Terkendala","Not Ready",IF(AND(J127="Critical",L127&lt;=TODAY()+3,N127&lt;100),"At Risk","In Progress")))</x:f>
        <x:v>In Progress</x:v>
      </x:c>
      <x:c r="P127" s="20" t="str"/>
      <x:c r="Q127" s="20" t="str"/>
      <x:c r="R127" s="20" t="str"/>
      <x:c r="S127" s="20" t="str">
        <x:v>Initial Setup</x:v>
      </x:c>
      <x:c r="T127" s="32" t="n">
        <x:v>46229.833333333336</x:v>
      </x:c>
      <x:c r="U127" s="20" t="str"/>
      <x:c r="V127" s="20" t="str">
        <x:v>Belum Diverifikasi</x:v>
      </x:c>
      <x:c r="W127" s="20" t="str"/>
      <x:c r="X127" s="20" t="str"/>
      <x:c r="Y127" s="20" t="str">
        <x:v>Ya</x:v>
      </x:c>
      <x:c r="Z127" s="20" t="str">
        <x:v>Semua</x:v>
      </x:c>
      <x:c r="AA127" s="33" t="n">
        <x:f>IF(L127="","",L127-TODAY())</x:f>
        <x:v>14</x:v>
      </x:c>
      <x:c r="AB127" s="20" t="str">
        <x:f>IF(AND(L127&lt;&gt;"",L127&lt;TODAY(),M127&lt;&gt;"Selesai &amp; Terverifikasi",M127&lt;&gt;"Tidak Berlaku"),"OVERDUE","")</x:f>
      </x:c>
      <x:c r="AC127" s="20" t="n">
        <x:f>IF(J127="Critical",4,IF(J127="High",3,IF(J127="Medium",2,1)))</x:f>
        <x:v>4</x:v>
      </x:c>
      <x:c r="AD127" s="20" t="n">
        <x:f>N127*AC127</x:f>
        <x:v>0</x:v>
      </x:c>
    </x:row>
    <x:row r="128">
      <x:c r="A128" s="20" t="str">
        <x:v>TSK-127</x:v>
      </x:c>
      <x:c r="B128" s="20" t="str">
        <x:v>EVT-GEN</x:v>
      </x:c>
      <x:c r="C128" s="20" t="str">
        <x:v>Seluruh Venue</x:v>
      </x:c>
      <x:c r="D128" s="20" t="str">
        <x:v>LO &amp; Protocol</x:v>
      </x:c>
      <x:c r="E128" s="20" t="str">
        <x:v>Validasi daftar LO dan badge</x:v>
      </x:c>
      <x:c r="F128" s="20" t="str">
        <x:v>Semua assignment, badge dan status keaktifan dikonfirmasi.</x:v>
      </x:c>
      <x:c r="G128" s="20" t="str">
        <x:v>PIM</x:v>
      </x:c>
      <x:c r="H128" s="20" t="str">
        <x:v>LO</x:v>
      </x:c>
      <x:c r="I128" s="20" t="str">
        <x:v>Fahirul Muhar</x:v>
      </x:c>
      <x:c r="J128" s="20" t="str">
        <x:v>Critical</x:v>
      </x:c>
      <x:c r="K128" s="30" t="n">
        <x:v>46230</x:v>
      </x:c>
      <x:c r="L128" s="30" t="n">
        <x:v>46234</x:v>
      </x:c>
      <x:c r="M128" s="20" t="str">
        <x:v>Sedang Berjalan</x:v>
      </x:c>
      <x:c r="N128" s="31" t="n">
        <x:v>80</x:v>
      </x:c>
      <x:c r="O128" s="20" t="str">
        <x:f>IF(M128="Selesai &amp; Terverifikasi","Ready",IF(M128="Terkendala","Not Ready",IF(AND(J128="Critical",L128&lt;=TODAY()+3,N128&lt;100),"At Risk","In Progress")))</x:f>
        <x:v>In Progress</x:v>
      </x:c>
      <x:c r="P128" s="20" t="str">
        <x:v>Data referensi tersedia; perlu konfirmasi final.</x:v>
      </x:c>
      <x:c r="Q128" s="20" t="str">
        <x:v>Konfirmasi ke Koordinator LO.</x:v>
      </x:c>
      <x:c r="R128" s="20" t="str"/>
      <x:c r="S128" s="20" t="str">
        <x:v>Initial Setup</x:v>
      </x:c>
      <x:c r="T128" s="32" t="n">
        <x:v>46229.833333333336</x:v>
      </x:c>
      <x:c r="U128" s="20" t="str"/>
      <x:c r="V128" s="20" t="str">
        <x:v>Belum Diverifikasi</x:v>
      </x:c>
      <x:c r="W128" s="20" t="str"/>
      <x:c r="X128" s="20" t="str"/>
      <x:c r="Y128" s="20" t="str">
        <x:v>Ya</x:v>
      </x:c>
      <x:c r="Z128" s="20" t="str">
        <x:v>Semua</x:v>
      </x:c>
      <x:c r="AA128" s="33" t="n">
        <x:f>IF(L128="","",L128-TODAY())</x:f>
        <x:v>5</x:v>
      </x:c>
      <x:c r="AB128" s="20" t="str">
        <x:f>IF(AND(L128&lt;&gt;"",L128&lt;TODAY(),M128&lt;&gt;"Selesai &amp; Terverifikasi",M128&lt;&gt;"Tidak Berlaku"),"OVERDUE","")</x:f>
      </x:c>
      <x:c r="AC128" s="20" t="n">
        <x:f>IF(J128="Critical",4,IF(J128="High",3,IF(J128="Medium",2,1)))</x:f>
        <x:v>4</x:v>
      </x:c>
      <x:c r="AD128" s="20" t="n">
        <x:f>N128*AC128</x:f>
        <x:v>320</x:v>
      </x:c>
    </x:row>
    <x:row r="129">
      <x:c r="A129" s="20" t="str">
        <x:v>TSK-128</x:v>
      </x:c>
      <x:c r="B129" s="20" t="str">
        <x:v>EVT-GEN</x:v>
      </x:c>
      <x:c r="C129" s="20" t="str">
        <x:v>Seluruh Venue</x:v>
      </x:c>
      <x:c r="D129" s="20" t="str">
        <x:v>LO &amp; Protocol</x:v>
      </x:c>
      <x:c r="E129" s="20" t="str">
        <x:v>Isi assignment LO yang masih kosong</x:v>
      </x:c>
      <x:c r="F129" s="20" t="str">
        <x:v>Setiap VIP/perusahaan memiliki LO utama dan backup.</x:v>
      </x:c>
      <x:c r="G129" s="20" t="str">
        <x:v>PIM</x:v>
      </x:c>
      <x:c r="H129" s="20" t="str">
        <x:v>LO</x:v>
      </x:c>
      <x:c r="I129" s="20" t="str">
        <x:v>Fahirul Muhar</x:v>
      </x:c>
      <x:c r="J129" s="20" t="str">
        <x:v>Critical</x:v>
      </x:c>
      <x:c r="K129" s="30" t="n">
        <x:v>46230</x:v>
      </x:c>
      <x:c r="L129" s="30" t="n">
        <x:v>46237</x:v>
      </x:c>
      <x:c r="M129" s="20" t="str">
        <x:v>Belum Dimulai</x:v>
      </x:c>
      <x:c r="N129" s="31" t="n">
        <x:v>0</x:v>
      </x:c>
      <x:c r="O129" s="20" t="str">
        <x:f>IF(M129="Selesai &amp; Terverifikasi","Ready",IF(M129="Terkendala","Not Ready",IF(AND(J129="Critical",L129&lt;=TODAY()+3,N129&lt;100),"At Risk","In Progress")))</x:f>
        <x:v>In Progress</x:v>
      </x:c>
      <x:c r="P129" s="20" t="str"/>
      <x:c r="Q129" s="20" t="str"/>
      <x:c r="R129" s="20" t="str"/>
      <x:c r="S129" s="20" t="str">
        <x:v>Initial Setup</x:v>
      </x:c>
      <x:c r="T129" s="32" t="n">
        <x:v>46229.833333333336</x:v>
      </x:c>
      <x:c r="U129" s="20" t="str"/>
      <x:c r="V129" s="20" t="str">
        <x:v>Belum Diverifikasi</x:v>
      </x:c>
      <x:c r="W129" s="20" t="str"/>
      <x:c r="X129" s="20" t="str"/>
      <x:c r="Y129" s="20" t="str">
        <x:v>Ya</x:v>
      </x:c>
      <x:c r="Z129" s="20" t="str">
        <x:v>Semua</x:v>
      </x:c>
      <x:c r="AA129" s="33" t="n">
        <x:f>IF(L129="","",L129-TODAY())</x:f>
        <x:v>8</x:v>
      </x:c>
      <x:c r="AB129" s="20" t="str">
        <x:f>IF(AND(L129&lt;&gt;"",L129&lt;TODAY(),M129&lt;&gt;"Selesai &amp; Terverifikasi",M129&lt;&gt;"Tidak Berlaku"),"OVERDUE","")</x:f>
      </x:c>
      <x:c r="AC129" s="20" t="n">
        <x:f>IF(J129="Critical",4,IF(J129="High",3,IF(J129="Medium",2,1)))</x:f>
        <x:v>4</x:v>
      </x:c>
      <x:c r="AD129" s="20" t="n">
        <x:f>N129*AC129</x:f>
        <x:v>0</x:v>
      </x:c>
    </x:row>
    <x:row r="130">
      <x:c r="A130" s="20" t="str">
        <x:v>TSK-129</x:v>
      </x:c>
      <x:c r="B130" s="20" t="str">
        <x:v>EVT-GEN</x:v>
      </x:c>
      <x:c r="C130" s="20" t="str">
        <x:v>Seluruh Venue</x:v>
      </x:c>
      <x:c r="D130" s="20" t="str">
        <x:v>LO &amp; Protocol</x:v>
      </x:c>
      <x:c r="E130" s="20" t="str">
        <x:v>Lengkapi kontak LO dan tamu</x:v>
      </x:c>
      <x:c r="F130" s="20" t="str">
        <x:v>Nomor telepon internal tersimpan pada sheet terbatas.</x:v>
      </x:c>
      <x:c r="G130" s="20" t="str">
        <x:v>PIM</x:v>
      </x:c>
      <x:c r="H130" s="20" t="str">
        <x:v>LO</x:v>
      </x:c>
      <x:c r="I130" s="20" t="str">
        <x:v>Fahirul Muhar</x:v>
      </x:c>
      <x:c r="J130" s="20" t="str">
        <x:v>Critical</x:v>
      </x:c>
      <x:c r="K130" s="30" t="n">
        <x:v>46230</x:v>
      </x:c>
      <x:c r="L130" s="30" t="n">
        <x:v>46238</x:v>
      </x:c>
      <x:c r="M130" s="20" t="str">
        <x:v>Belum Dimulai</x:v>
      </x:c>
      <x:c r="N130" s="31" t="n">
        <x:v>0</x:v>
      </x:c>
      <x:c r="O130" s="20" t="str">
        <x:f>IF(M130="Selesai &amp; Terverifikasi","Ready",IF(M130="Terkendala","Not Ready",IF(AND(J130="Critical",L130&lt;=TODAY()+3,N130&lt;100),"At Risk","In Progress")))</x:f>
        <x:v>In Progress</x:v>
      </x:c>
      <x:c r="P130" s="20" t="str"/>
      <x:c r="Q130" s="20" t="str"/>
      <x:c r="R130" s="20" t="str"/>
      <x:c r="S130" s="20" t="str">
        <x:v>Initial Setup</x:v>
      </x:c>
      <x:c r="T130" s="32" t="n">
        <x:v>46229.833333333336</x:v>
      </x:c>
      <x:c r="U130" s="20" t="str"/>
      <x:c r="V130" s="20" t="str">
        <x:v>Belum Diverifikasi</x:v>
      </x:c>
      <x:c r="W130" s="20" t="str"/>
      <x:c r="X130" s="20" t="str"/>
      <x:c r="Y130" s="20" t="str">
        <x:v>Ya</x:v>
      </x:c>
      <x:c r="Z130" s="20" t="str">
        <x:v>Semua</x:v>
      </x:c>
      <x:c r="AA130" s="33" t="n">
        <x:f>IF(L130="","",L130-TODAY())</x:f>
        <x:v>9</x:v>
      </x:c>
      <x:c r="AB130" s="20" t="str">
        <x:f>IF(AND(L130&lt;&gt;"",L130&lt;TODAY(),M130&lt;&gt;"Selesai &amp; Terverifikasi",M130&lt;&gt;"Tidak Berlaku"),"OVERDUE","")</x:f>
      </x:c>
      <x:c r="AC130" s="20" t="n">
        <x:f>IF(J130="Critical",4,IF(J130="High",3,IF(J130="Medium",2,1)))</x:f>
        <x:v>4</x:v>
      </x:c>
      <x:c r="AD130" s="20" t="n">
        <x:f>N130*AC130</x:f>
        <x:v>0</x:v>
      </x:c>
    </x:row>
    <x:row r="131">
      <x:c r="A131" s="20" t="str">
        <x:v>TSK-130</x:v>
      </x:c>
      <x:c r="B131" s="20" t="str">
        <x:v>EVT-GEN</x:v>
      </x:c>
      <x:c r="C131" s="20" t="str">
        <x:v>Seluruh Venue</x:v>
      </x:c>
      <x:c r="D131" s="20" t="str">
        <x:v>LO &amp; Protocol</x:v>
      </x:c>
      <x:c r="E131" s="20" t="str">
        <x:v>Lakukan briefing LO</x:v>
      </x:c>
      <x:c r="F131" s="20" t="str">
        <x:v>Rundown, protokol, transportasi, akomodasi, dress code dan escalation dipahami.</x:v>
      </x:c>
      <x:c r="G131" s="20" t="str">
        <x:v>PIM</x:v>
      </x:c>
      <x:c r="H131" s="20" t="str">
        <x:v>LO</x:v>
      </x:c>
      <x:c r="I131" s="20" t="str">
        <x:v>Fahirul Muhar</x:v>
      </x:c>
      <x:c r="J131" s="20" t="str">
        <x:v>Critical</x:v>
      </x:c>
      <x:c r="K131" s="30" t="n">
        <x:v>46230</x:v>
      </x:c>
      <x:c r="L131" s="30" t="n">
        <x:v>46241</x:v>
      </x:c>
      <x:c r="M131" s="20" t="str">
        <x:v>Belum Dimulai</x:v>
      </x:c>
      <x:c r="N131" s="31" t="n">
        <x:v>0</x:v>
      </x:c>
      <x:c r="O131" s="20" t="str">
        <x:f>IF(M131="Selesai &amp; Terverifikasi","Ready",IF(M131="Terkendala","Not Ready",IF(AND(J131="Critical",L131&lt;=TODAY()+3,N131&lt;100),"At Risk","In Progress")))</x:f>
        <x:v>In Progress</x:v>
      </x:c>
      <x:c r="P131" s="20" t="str"/>
      <x:c r="Q131" s="20" t="str"/>
      <x:c r="R131" s="20" t="str"/>
      <x:c r="S131" s="20" t="str">
        <x:v>Initial Setup</x:v>
      </x:c>
      <x:c r="T131" s="32" t="n">
        <x:v>46229.833333333336</x:v>
      </x:c>
      <x:c r="U131" s="20" t="str"/>
      <x:c r="V131" s="20" t="str">
        <x:v>Belum Diverifikasi</x:v>
      </x:c>
      <x:c r="W131" s="20" t="str"/>
      <x:c r="X131" s="20" t="str"/>
      <x:c r="Y131" s="20" t="str">
        <x:v>Ya</x:v>
      </x:c>
      <x:c r="Z131" s="20" t="str">
        <x:v>Semua</x:v>
      </x:c>
      <x:c r="AA131" s="33" t="n">
        <x:f>IF(L131="","",L131-TODAY())</x:f>
        <x:v>12</x:v>
      </x:c>
      <x:c r="AB131" s="20" t="str">
        <x:f>IF(AND(L131&lt;&gt;"",L131&lt;TODAY(),M131&lt;&gt;"Selesai &amp; Terverifikasi",M131&lt;&gt;"Tidak Berlaku"),"OVERDUE","")</x:f>
      </x:c>
      <x:c r="AC131" s="20" t="n">
        <x:f>IF(J131="Critical",4,IF(J131="High",3,IF(J131="Medium",2,1)))</x:f>
        <x:v>4</x:v>
      </x:c>
      <x:c r="AD131" s="20" t="n">
        <x:f>N131*AC131</x:f>
        <x:v>0</x:v>
      </x:c>
    </x:row>
    <x:row r="132">
      <x:c r="A132" s="20" t="str">
        <x:v>TSK-131</x:v>
      </x:c>
      <x:c r="B132" s="20" t="str">
        <x:v>EVT-GEN</x:v>
      </x:c>
      <x:c r="C132" s="20" t="str">
        <x:v>Seluruh Venue</x:v>
      </x:c>
      <x:c r="D132" s="20" t="str">
        <x:v>LO &amp; Protocol</x:v>
      </x:c>
      <x:c r="E132" s="20" t="str">
        <x:v>Distribusikan guest profile dan itinerary</x:v>
      </x:c>
      <x:c r="F132" s="20" t="str">
        <x:v>Setiap LO menerima informasi tamu yang relevan dan aman.</x:v>
      </x:c>
      <x:c r="G132" s="20" t="str">
        <x:v>PIM</x:v>
      </x:c>
      <x:c r="H132" s="20" t="str">
        <x:v>LO</x:v>
      </x:c>
      <x:c r="I132" s="20" t="str">
        <x:v>Fahirul Muhar</x:v>
      </x:c>
      <x:c r="J132" s="20" t="str">
        <x:v>High</x:v>
      </x:c>
      <x:c r="K132" s="30" t="n">
        <x:v>46230</x:v>
      </x:c>
      <x:c r="L132" s="30" t="n">
        <x:v>46241</x:v>
      </x:c>
      <x:c r="M132" s="20" t="str">
        <x:v>Belum Dimulai</x:v>
      </x:c>
      <x:c r="N132" s="31" t="n">
        <x:v>0</x:v>
      </x:c>
      <x:c r="O132" s="20" t="str">
        <x:f>IF(M132="Selesai &amp; Terverifikasi","Ready",IF(M132="Terkendala","Not Ready",IF(AND(J132="Critical",L132&lt;=TODAY()+3,N132&lt;100),"At Risk","In Progress")))</x:f>
        <x:v>In Progress</x:v>
      </x:c>
      <x:c r="P132" s="20" t="str"/>
      <x:c r="Q132" s="20" t="str"/>
      <x:c r="R132" s="20" t="str"/>
      <x:c r="S132" s="20" t="str">
        <x:v>Initial Setup</x:v>
      </x:c>
      <x:c r="T132" s="32" t="n">
        <x:v>46229.833333333336</x:v>
      </x:c>
      <x:c r="U132" s="20" t="str"/>
      <x:c r="V132" s="20" t="str">
        <x:v>Belum Diverifikasi</x:v>
      </x:c>
      <x:c r="W132" s="20" t="str"/>
      <x:c r="X132" s="20" t="str"/>
      <x:c r="Y132" s="20" t="str">
        <x:v>Ya</x:v>
      </x:c>
      <x:c r="Z132" s="20" t="str">
        <x:v>Semua</x:v>
      </x:c>
      <x:c r="AA132" s="33" t="n">
        <x:f>IF(L132="","",L132-TODAY())</x:f>
        <x:v>12</x:v>
      </x:c>
      <x:c r="AB132" s="20" t="str">
        <x:f>IF(AND(L132&lt;&gt;"",L132&lt;TODAY(),M132&lt;&gt;"Selesai &amp; Terverifikasi",M132&lt;&gt;"Tidak Berlaku"),"OVERDUE","")</x:f>
      </x:c>
      <x:c r="AC132" s="20" t="n">
        <x:f>IF(J132="Critical",4,IF(J132="High",3,IF(J132="Medium",2,1)))</x:f>
        <x:v>3</x:v>
      </x:c>
      <x:c r="AD132" s="20" t="n">
        <x:f>N132*AC132</x:f>
        <x:v>0</x:v>
      </x:c>
    </x:row>
    <x:row r="133">
      <x:c r="A133" s="20" t="str">
        <x:v>TSK-132</x:v>
      </x:c>
      <x:c r="B133" s="20" t="str">
        <x:v>EVT-GEN</x:v>
      </x:c>
      <x:c r="C133" s="20" t="str">
        <x:v>Seluruh Venue</x:v>
      </x:c>
      <x:c r="D133" s="20" t="str">
        <x:v>LO &amp; Protocol</x:v>
      </x:c>
      <x:c r="E133" s="20" t="str">
        <x:v>Pastikan LO mengonfirmasi kedatangan dan kepulangan</x:v>
      </x:c>
      <x:c r="F133" s="20" t="str">
        <x:v>Checklist konfirmasi dibuat untuk setiap tamu/perusahaan.</x:v>
      </x:c>
      <x:c r="G133" s="20" t="str">
        <x:v>PIM</x:v>
      </x:c>
      <x:c r="H133" s="20" t="str">
        <x:v>LO</x:v>
      </x:c>
      <x:c r="I133" s="20" t="str">
        <x:v>Fahirul Muhar</x:v>
      </x:c>
      <x:c r="J133" s="20" t="str">
        <x:v>Critical</x:v>
      </x:c>
      <x:c r="K133" s="30" t="n">
        <x:v>46230</x:v>
      </x:c>
      <x:c r="L133" s="30" t="n">
        <x:v>46242</x:v>
      </x:c>
      <x:c r="M133" s="20" t="str">
        <x:v>Belum Dimulai</x:v>
      </x:c>
      <x:c r="N133" s="31" t="n">
        <x:v>0</x:v>
      </x:c>
      <x:c r="O133" s="20" t="str">
        <x:f>IF(M133="Selesai &amp; Terverifikasi","Ready",IF(M133="Terkendala","Not Ready",IF(AND(J133="Critical",L133&lt;=TODAY()+3,N133&lt;100),"At Risk","In Progress")))</x:f>
        <x:v>In Progress</x:v>
      </x:c>
      <x:c r="P133" s="20" t="str"/>
      <x:c r="Q133" s="20" t="str"/>
      <x:c r="R133" s="20" t="str"/>
      <x:c r="S133" s="20" t="str">
        <x:v>Initial Setup</x:v>
      </x:c>
      <x:c r="T133" s="32" t="n">
        <x:v>46229.833333333336</x:v>
      </x:c>
      <x:c r="U133" s="20" t="str"/>
      <x:c r="V133" s="20" t="str">
        <x:v>Belum Diverifikasi</x:v>
      </x:c>
      <x:c r="W133" s="20" t="str"/>
      <x:c r="X133" s="20" t="str"/>
      <x:c r="Y133" s="20" t="str">
        <x:v>Ya</x:v>
      </x:c>
      <x:c r="Z133" s="20" t="str">
        <x:v>Semua</x:v>
      </x:c>
      <x:c r="AA133" s="33" t="n">
        <x:f>IF(L133="","",L133-TODAY())</x:f>
        <x:v>13</x:v>
      </x:c>
      <x:c r="AB133" s="20" t="str">
        <x:f>IF(AND(L133&lt;&gt;"",L133&lt;TODAY(),M133&lt;&gt;"Selesai &amp; Terverifikasi",M133&lt;&gt;"Tidak Berlaku"),"OVERDUE","")</x:f>
      </x:c>
      <x:c r="AC133" s="20" t="n">
        <x:f>IF(J133="Critical",4,IF(J133="High",3,IF(J133="Medium",2,1)))</x:f>
        <x:v>4</x:v>
      </x:c>
      <x:c r="AD133" s="20" t="n">
        <x:f>N133*AC133</x:f>
        <x:v>0</x:v>
      </x:c>
    </x:row>
    <x:row r="134">
      <x:c r="A134" s="20" t="str">
        <x:v>TSK-133</x:v>
      </x:c>
      <x:c r="B134" s="20" t="str">
        <x:v>EVT-GEN</x:v>
      </x:c>
      <x:c r="C134" s="20" t="str">
        <x:v>Seluruh Venue</x:v>
      </x:c>
      <x:c r="D134" s="20" t="str">
        <x:v>LO &amp; Protocol</x:v>
      </x:c>
      <x:c r="E134" s="20" t="str">
        <x:v>Sinkronkan LO dengan rooming list</x:v>
      </x:c>
      <x:c r="F134" s="20" t="str">
        <x:v>LO mengetahui lokasi akomodasi tanpa mengekspos data publik.</x:v>
      </x:c>
      <x:c r="G134" s="20" t="str">
        <x:v>PIM</x:v>
      </x:c>
      <x:c r="H134" s="20" t="str">
        <x:v>LO</x:v>
      </x:c>
      <x:c r="I134" s="20" t="str">
        <x:v>Fahirul Muhar</x:v>
      </x:c>
      <x:c r="J134" s="20" t="str">
        <x:v>High</x:v>
      </x:c>
      <x:c r="K134" s="30" t="n">
        <x:v>46230</x:v>
      </x:c>
      <x:c r="L134" s="30" t="n">
        <x:v>46241</x:v>
      </x:c>
      <x:c r="M134" s="20" t="str">
        <x:v>Belum Dimulai</x:v>
      </x:c>
      <x:c r="N134" s="31" t="n">
        <x:v>0</x:v>
      </x:c>
      <x:c r="O134" s="20" t="str">
        <x:f>IF(M134="Selesai &amp; Terverifikasi","Ready",IF(M134="Terkendala","Not Ready",IF(AND(J134="Critical",L134&lt;=TODAY()+3,N134&lt;100),"At Risk","In Progress")))</x:f>
        <x:v>In Progress</x:v>
      </x:c>
      <x:c r="P134" s="20" t="str"/>
      <x:c r="Q134" s="20" t="str"/>
      <x:c r="R134" s="20" t="str"/>
      <x:c r="S134" s="20" t="str">
        <x:v>Initial Setup</x:v>
      </x:c>
      <x:c r="T134" s="32" t="n">
        <x:v>46229.833333333336</x:v>
      </x:c>
      <x:c r="U134" s="20" t="str"/>
      <x:c r="V134" s="20" t="str">
        <x:v>Belum Diverifikasi</x:v>
      </x:c>
      <x:c r="W134" s="20" t="str"/>
      <x:c r="X134" s="20" t="str"/>
      <x:c r="Y134" s="20" t="str">
        <x:v>Ya</x:v>
      </x:c>
      <x:c r="Z134" s="20" t="str">
        <x:v>Semua</x:v>
      </x:c>
      <x:c r="AA134" s="33" t="n">
        <x:f>IF(L134="","",L134-TODAY())</x:f>
        <x:v>12</x:v>
      </x:c>
      <x:c r="AB134" s="20" t="str">
        <x:f>IF(AND(L134&lt;&gt;"",L134&lt;TODAY(),M134&lt;&gt;"Selesai &amp; Terverifikasi",M134&lt;&gt;"Tidak Berlaku"),"OVERDUE","")</x:f>
      </x:c>
      <x:c r="AC134" s="20" t="n">
        <x:f>IF(J134="Critical",4,IF(J134="High",3,IF(J134="Medium",2,1)))</x:f>
        <x:v>3</x:v>
      </x:c>
      <x:c r="AD134" s="20" t="n">
        <x:f>N134*AC134</x:f>
        <x:v>0</x:v>
      </x:c>
    </x:row>
    <x:row r="135">
      <x:c r="A135" s="20" t="str">
        <x:v>TSK-134</x:v>
      </x:c>
      <x:c r="B135" s="20" t="str">
        <x:v>EVT-GEN</x:v>
      </x:c>
      <x:c r="C135" s="20" t="str">
        <x:v>Seluruh Venue</x:v>
      </x:c>
      <x:c r="D135" s="20" t="str">
        <x:v>LO &amp; Protocol</x:v>
      </x:c>
      <x:c r="E135" s="20" t="str">
        <x:v>Sinkronkan LO dengan transportasi</x:v>
      </x:c>
      <x:c r="F135" s="20" t="str">
        <x:v>Titik temu, kendaraan, driver dan dispatcher jelas.</x:v>
      </x:c>
      <x:c r="G135" s="20" t="str">
        <x:v>PIM</x:v>
      </x:c>
      <x:c r="H135" s="20" t="str">
        <x:v>LO</x:v>
      </x:c>
      <x:c r="I135" s="20" t="str">
        <x:v>Fahirul Muhar</x:v>
      </x:c>
      <x:c r="J135" s="20" t="str">
        <x:v>Critical</x:v>
      </x:c>
      <x:c r="K135" s="30" t="n">
        <x:v>46230</x:v>
      </x:c>
      <x:c r="L135" s="30" t="n">
        <x:v>46241</x:v>
      </x:c>
      <x:c r="M135" s="20" t="str">
        <x:v>Belum Dimulai</x:v>
      </x:c>
      <x:c r="N135" s="31" t="n">
        <x:v>0</x:v>
      </x:c>
      <x:c r="O135" s="20" t="str">
        <x:f>IF(M135="Selesai &amp; Terverifikasi","Ready",IF(M135="Terkendala","Not Ready",IF(AND(J135="Critical",L135&lt;=TODAY()+3,N135&lt;100),"At Risk","In Progress")))</x:f>
        <x:v>In Progress</x:v>
      </x:c>
      <x:c r="P135" s="20" t="str"/>
      <x:c r="Q135" s="20" t="str"/>
      <x:c r="R135" s="20" t="str"/>
      <x:c r="S135" s="20" t="str">
        <x:v>Initial Setup</x:v>
      </x:c>
      <x:c r="T135" s="32" t="n">
        <x:v>46229.833333333336</x:v>
      </x:c>
      <x:c r="U135" s="20" t="str"/>
      <x:c r="V135" s="20" t="str">
        <x:v>Belum Diverifikasi</x:v>
      </x:c>
      <x:c r="W135" s="20" t="str"/>
      <x:c r="X135" s="20" t="str"/>
      <x:c r="Y135" s="20" t="str">
        <x:v>Ya</x:v>
      </x:c>
      <x:c r="Z135" s="20" t="str">
        <x:v>Semua</x:v>
      </x:c>
      <x:c r="AA135" s="33" t="n">
        <x:f>IF(L135="","",L135-TODAY())</x:f>
        <x:v>12</x:v>
      </x:c>
      <x:c r="AB135" s="20" t="str">
        <x:f>IF(AND(L135&lt;&gt;"",L135&lt;TODAY(),M135&lt;&gt;"Selesai &amp; Terverifikasi",M135&lt;&gt;"Tidak Berlaku"),"OVERDUE","")</x:f>
      </x:c>
      <x:c r="AC135" s="20" t="n">
        <x:f>IF(J135="Critical",4,IF(J135="High",3,IF(J135="Medium",2,1)))</x:f>
        <x:v>4</x:v>
      </x:c>
      <x:c r="AD135" s="20" t="n">
        <x:f>N135*AC135</x:f>
        <x:v>0</x:v>
      </x:c>
    </x:row>
    <x:row r="136">
      <x:c r="A136" s="20" t="str">
        <x:v>TSK-135</x:v>
      </x:c>
      <x:c r="B136" s="20" t="str">
        <x:v>EVT-GEN</x:v>
      </x:c>
      <x:c r="C136" s="20" t="str">
        <x:v>Seluruh Venue</x:v>
      </x:c>
      <x:c r="D136" s="20" t="str">
        <x:v>LO &amp; Protocol</x:v>
      </x:c>
      <x:c r="E136" s="20" t="str">
        <x:v>Siapkan template pesan tamu</x:v>
      </x:c>
      <x:c r="F136" s="20" t="str">
        <x:v>Pesan sambutan, reminder, perubahan jadwal dan emergency tersedia.</x:v>
      </x:c>
      <x:c r="G136" s="20" t="str">
        <x:v>PIM</x:v>
      </x:c>
      <x:c r="H136" s="20" t="str">
        <x:v>LO</x:v>
      </x:c>
      <x:c r="I136" s="20" t="str">
        <x:v>Fahirul Muhar</x:v>
      </x:c>
      <x:c r="J136" s="20" t="str">
        <x:v>Medium</x:v>
      </x:c>
      <x:c r="K136" s="30" t="n">
        <x:v>46230</x:v>
      </x:c>
      <x:c r="L136" s="30" t="n">
        <x:v>46240</x:v>
      </x:c>
      <x:c r="M136" s="20" t="str">
        <x:v>Belum Dimulai</x:v>
      </x:c>
      <x:c r="N136" s="31" t="n">
        <x:v>0</x:v>
      </x:c>
      <x:c r="O136" s="20" t="str">
        <x:f>IF(M136="Selesai &amp; Terverifikasi","Ready",IF(M136="Terkendala","Not Ready",IF(AND(J136="Critical",L136&lt;=TODAY()+3,N136&lt;100),"At Risk","In Progress")))</x:f>
        <x:v>In Progress</x:v>
      </x:c>
      <x:c r="P136" s="20" t="str"/>
      <x:c r="Q136" s="20" t="str"/>
      <x:c r="R136" s="20" t="str"/>
      <x:c r="S136" s="20" t="str">
        <x:v>Initial Setup</x:v>
      </x:c>
      <x:c r="T136" s="32" t="n">
        <x:v>46229.833333333336</x:v>
      </x:c>
      <x:c r="U136" s="20" t="str"/>
      <x:c r="V136" s="20" t="str">
        <x:v>Belum Diverifikasi</x:v>
      </x:c>
      <x:c r="W136" s="20" t="str"/>
      <x:c r="X136" s="20" t="str"/>
      <x:c r="Y136" s="20" t="str">
        <x:v>Ya</x:v>
      </x:c>
      <x:c r="Z136" s="20" t="str">
        <x:v>Semua</x:v>
      </x:c>
      <x:c r="AA136" s="33" t="n">
        <x:f>IF(L136="","",L136-TODAY())</x:f>
        <x:v>11</x:v>
      </x:c>
      <x:c r="AB136" s="20" t="str">
        <x:f>IF(AND(L136&lt;&gt;"",L136&lt;TODAY(),M136&lt;&gt;"Selesai &amp; Terverifikasi",M136&lt;&gt;"Tidak Berlaku"),"OVERDUE","")</x:f>
      </x:c>
      <x:c r="AC136" s="20" t="n">
        <x:f>IF(J136="Critical",4,IF(J136="High",3,IF(J136="Medium",2,1)))</x:f>
        <x:v>2</x:v>
      </x:c>
      <x:c r="AD136" s="20" t="n">
        <x:f>N136*AC136</x:f>
        <x:v>0</x:v>
      </x:c>
    </x:row>
    <x:row r="137">
      <x:c r="A137" s="20" t="str">
        <x:v>TSK-136</x:v>
      </x:c>
      <x:c r="B137" s="20" t="str">
        <x:v>EVT-GEN</x:v>
      </x:c>
      <x:c r="C137" s="20" t="str">
        <x:v>Seluruh Venue</x:v>
      </x:c>
      <x:c r="D137" s="20" t="str">
        <x:v>LO &amp; Protocol</x:v>
      </x:c>
      <x:c r="E137" s="20" t="str">
        <x:v>Siapkan LO backup dan shift</x:v>
      </x:c>
      <x:c r="F137" s="20" t="str">
        <x:v>Pengganti tersedia jika LO utama berhalangan.</x:v>
      </x:c>
      <x:c r="G137" s="20" t="str">
        <x:v>PIM</x:v>
      </x:c>
      <x:c r="H137" s="20" t="str">
        <x:v>LO</x:v>
      </x:c>
      <x:c r="I137" s="20" t="str">
        <x:v>Fahirul Muhar</x:v>
      </x:c>
      <x:c r="J137" s="20" t="str">
        <x:v>High</x:v>
      </x:c>
      <x:c r="K137" s="30" t="n">
        <x:v>46230</x:v>
      </x:c>
      <x:c r="L137" s="30" t="n">
        <x:v>46242</x:v>
      </x:c>
      <x:c r="M137" s="20" t="str">
        <x:v>Belum Dimulai</x:v>
      </x:c>
      <x:c r="N137" s="31" t="n">
        <x:v>0</x:v>
      </x:c>
      <x:c r="O137" s="20" t="str">
        <x:f>IF(M137="Selesai &amp; Terverifikasi","Ready",IF(M137="Terkendala","Not Ready",IF(AND(J137="Critical",L137&lt;=TODAY()+3,N137&lt;100),"At Risk","In Progress")))</x:f>
        <x:v>In Progress</x:v>
      </x:c>
      <x:c r="P137" s="20" t="str"/>
      <x:c r="Q137" s="20" t="str"/>
      <x:c r="R137" s="20" t="str"/>
      <x:c r="S137" s="20" t="str">
        <x:v>Initial Setup</x:v>
      </x:c>
      <x:c r="T137" s="32" t="n">
        <x:v>46229.833333333336</x:v>
      </x:c>
      <x:c r="U137" s="20" t="str"/>
      <x:c r="V137" s="20" t="str">
        <x:v>Belum Diverifikasi</x:v>
      </x:c>
      <x:c r="W137" s="20" t="str"/>
      <x:c r="X137" s="20" t="str"/>
      <x:c r="Y137" s="20" t="str">
        <x:v>Ya</x:v>
      </x:c>
      <x:c r="Z137" s="20" t="str">
        <x:v>Semua</x:v>
      </x:c>
      <x:c r="AA137" s="33" t="n">
        <x:f>IF(L137="","",L137-TODAY())</x:f>
        <x:v>13</x:v>
      </x:c>
      <x:c r="AB137" s="20" t="str">
        <x:f>IF(AND(L137&lt;&gt;"",L137&lt;TODAY(),M137&lt;&gt;"Selesai &amp; Terverifikasi",M137&lt;&gt;"Tidak Berlaku"),"OVERDUE","")</x:f>
      </x:c>
      <x:c r="AC137" s="20" t="n">
        <x:f>IF(J137="Critical",4,IF(J137="High",3,IF(J137="Medium",2,1)))</x:f>
        <x:v>3</x:v>
      </x:c>
      <x:c r="AD137" s="20" t="n">
        <x:f>N137*AC137</x:f>
        <x:v>0</x:v>
      </x:c>
    </x:row>
    <x:row r="138">
      <x:c r="A138" s="20" t="str">
        <x:v>TSK-137</x:v>
      </x:c>
      <x:c r="B138" s="20" t="str">
        <x:v>EVT-GEN</x:v>
      </x:c>
      <x:c r="C138" s="20" t="str">
        <x:v>Seluruh Venue</x:v>
      </x:c>
      <x:c r="D138" s="20" t="str">
        <x:v>LO &amp; Protocol</x:v>
      </x:c>
      <x:c r="E138" s="20" t="str">
        <x:v>Lakukan daily LO check-in</x:v>
      </x:c>
      <x:c r="F138" s="20" t="str">
        <x:v>Status tamu, kebutuhan dan isu dilaporkan ke command center.</x:v>
      </x:c>
      <x:c r="G138" s="20" t="str">
        <x:v>PIM</x:v>
      </x:c>
      <x:c r="H138" s="20" t="str">
        <x:v>LO</x:v>
      </x:c>
      <x:c r="I138" s="20" t="str">
        <x:v>Fahirul Muhar</x:v>
      </x:c>
      <x:c r="J138" s="20" t="str">
        <x:v>High</x:v>
      </x:c>
      <x:c r="K138" s="30" t="n">
        <x:v>46230</x:v>
      </x:c>
      <x:c r="L138" s="30" t="n">
        <x:v>46243</x:v>
      </x:c>
      <x:c r="M138" s="20" t="str">
        <x:v>Belum Dimulai</x:v>
      </x:c>
      <x:c r="N138" s="31" t="n">
        <x:v>0</x:v>
      </x:c>
      <x:c r="O138" s="20" t="str">
        <x:f>IF(M138="Selesai &amp; Terverifikasi","Ready",IF(M138="Terkendala","Not Ready",IF(AND(J138="Critical",L138&lt;=TODAY()+3,N138&lt;100),"At Risk","In Progress")))</x:f>
        <x:v>In Progress</x:v>
      </x:c>
      <x:c r="P138" s="20" t="str"/>
      <x:c r="Q138" s="20" t="str"/>
      <x:c r="R138" s="20" t="str"/>
      <x:c r="S138" s="20" t="str">
        <x:v>Initial Setup</x:v>
      </x:c>
      <x:c r="T138" s="32" t="n">
        <x:v>46229.833333333336</x:v>
      </x:c>
      <x:c r="U138" s="20" t="str"/>
      <x:c r="V138" s="20" t="str">
        <x:v>Belum Diverifikasi</x:v>
      </x:c>
      <x:c r="W138" s="20" t="str"/>
      <x:c r="X138" s="20" t="str"/>
      <x:c r="Y138" s="20" t="str">
        <x:v>Ya</x:v>
      </x:c>
      <x:c r="Z138" s="20" t="str">
        <x:v>Semua</x:v>
      </x:c>
      <x:c r="AA138" s="33" t="n">
        <x:f>IF(L138="","",L138-TODAY())</x:f>
        <x:v>14</x:v>
      </x:c>
      <x:c r="AB138" s="20" t="str">
        <x:f>IF(AND(L138&lt;&gt;"",L138&lt;TODAY(),M138&lt;&gt;"Selesai &amp; Terverifikasi",M138&lt;&gt;"Tidak Berlaku"),"OVERDUE","")</x:f>
      </x:c>
      <x:c r="AC138" s="20" t="n">
        <x:f>IF(J138="Critical",4,IF(J138="High",3,IF(J138="Medium",2,1)))</x:f>
        <x:v>3</x:v>
      </x:c>
      <x:c r="AD138" s="20" t="n">
        <x:f>N138*AC138</x:f>
        <x:v>0</x:v>
      </x:c>
    </x:row>
    <x:row r="139">
      <x:c r="A139" s="20" t="str">
        <x:v>TSK-138</x:v>
      </x:c>
      <x:c r="B139" s="20" t="str">
        <x:v>EVT-GEN</x:v>
      </x:c>
      <x:c r="C139" s="20" t="str">
        <x:v>Seluruh Venue</x:v>
      </x:c>
      <x:c r="D139" s="20" t="str">
        <x:v>Souvenir</x:v>
      </x:c>
      <x:c r="E139" s="20" t="str">
        <x:v>Finalisasi daftar penerima souvenir</x:v>
      </x:c>
      <x:c r="F139" s="20" t="str">
        <x:v>Kategori, nama, jumlah dan waktu distribusi disetujui.</x:v>
      </x:c>
      <x:c r="G139" s="20" t="str">
        <x:v>Shared</x:v>
      </x:c>
      <x:c r="H139" s="20" t="str">
        <x:v>Souvenir &amp; Hadiah</x:v>
      </x:c>
      <x:c r="I139" s="20" t="str">
        <x:v>Fenti Novita Sari</x:v>
      </x:c>
      <x:c r="J139" s="20" t="str">
        <x:v>Critical</x:v>
      </x:c>
      <x:c r="K139" s="30" t="n">
        <x:v>46230</x:v>
      </x:c>
      <x:c r="L139" s="30" t="n">
        <x:v>46235</x:v>
      </x:c>
      <x:c r="M139" s="20" t="str">
        <x:v>Belum Dimulai</x:v>
      </x:c>
      <x:c r="N139" s="31" t="n">
        <x:v>0</x:v>
      </x:c>
      <x:c r="O139" s="20" t="str">
        <x:f>IF(M139="Selesai &amp; Terverifikasi","Ready",IF(M139="Terkendala","Not Ready",IF(AND(J139="Critical",L139&lt;=TODAY()+3,N139&lt;100),"At Risk","In Progress")))</x:f>
        <x:v>In Progress</x:v>
      </x:c>
      <x:c r="P139" s="20" t="str"/>
      <x:c r="Q139" s="20" t="str"/>
      <x:c r="R139" s="20" t="str"/>
      <x:c r="S139" s="20" t="str">
        <x:v>Initial Setup</x:v>
      </x:c>
      <x:c r="T139" s="32" t="n">
        <x:v>46229.833333333336</x:v>
      </x:c>
      <x:c r="U139" s="20" t="str"/>
      <x:c r="V139" s="20" t="str">
        <x:v>Belum Diverifikasi</x:v>
      </x:c>
      <x:c r="W139" s="20" t="str"/>
      <x:c r="X139" s="20" t="str"/>
      <x:c r="Y139" s="20" t="str">
        <x:v>Ya</x:v>
      </x:c>
      <x:c r="Z139" s="20" t="str">
        <x:v>Semua</x:v>
      </x:c>
      <x:c r="AA139" s="33" t="n">
        <x:f>IF(L139="","",L139-TODAY())</x:f>
        <x:v>6</x:v>
      </x:c>
      <x:c r="AB139" s="20" t="str">
        <x:f>IF(AND(L139&lt;&gt;"",L139&lt;TODAY(),M139&lt;&gt;"Selesai &amp; Terverifikasi",M139&lt;&gt;"Tidak Berlaku"),"OVERDUE","")</x:f>
      </x:c>
      <x:c r="AC139" s="20" t="n">
        <x:f>IF(J139="Critical",4,IF(J139="High",3,IF(J139="Medium",2,1)))</x:f>
        <x:v>4</x:v>
      </x:c>
      <x:c r="AD139" s="20" t="n">
        <x:f>N139*AC139</x:f>
        <x:v>0</x:v>
      </x:c>
    </x:row>
    <x:row r="140">
      <x:c r="A140" s="20" t="str">
        <x:v>TSK-139</x:v>
      </x:c>
      <x:c r="B140" s="20" t="str">
        <x:v>EVT-GEN</x:v>
      </x:c>
      <x:c r="C140" s="20" t="str">
        <x:v>Seluruh Venue</x:v>
      </x:c>
      <x:c r="D140" s="20" t="str">
        <x:v>Souvenir</x:v>
      </x:c>
      <x:c r="E140" s="20" t="str">
        <x:v>Finalisasi jenis dan desain souvenir</x:v>
      </x:c>
      <x:c r="F140" s="20" t="str">
        <x:v>Item, branding, kualitas dan kemasan disetujui.</x:v>
      </x:c>
      <x:c r="G140" s="20" t="str">
        <x:v>Shared</x:v>
      </x:c>
      <x:c r="H140" s="20" t="str">
        <x:v>Souvenir &amp; Hadiah</x:v>
      </x:c>
      <x:c r="I140" s="20" t="str">
        <x:v>Fenti Novita Sari</x:v>
      </x:c>
      <x:c r="J140" s="20" t="str">
        <x:v>High</x:v>
      </x:c>
      <x:c r="K140" s="30" t="n">
        <x:v>46230</x:v>
      </x:c>
      <x:c r="L140" s="30" t="n">
        <x:v>46235</x:v>
      </x:c>
      <x:c r="M140" s="20" t="str">
        <x:v>Belum Dimulai</x:v>
      </x:c>
      <x:c r="N140" s="31" t="n">
        <x:v>0</x:v>
      </x:c>
      <x:c r="O140" s="20" t="str">
        <x:f>IF(M140="Selesai &amp; Terverifikasi","Ready",IF(M140="Terkendala","Not Ready",IF(AND(J140="Critical",L140&lt;=TODAY()+3,N140&lt;100),"At Risk","In Progress")))</x:f>
        <x:v>In Progress</x:v>
      </x:c>
      <x:c r="P140" s="20" t="str"/>
      <x:c r="Q140" s="20" t="str"/>
      <x:c r="R140" s="20" t="str"/>
      <x:c r="S140" s="20" t="str">
        <x:v>Initial Setup</x:v>
      </x:c>
      <x:c r="T140" s="32" t="n">
        <x:v>46229.833333333336</x:v>
      </x:c>
      <x:c r="U140" s="20" t="str"/>
      <x:c r="V140" s="20" t="str">
        <x:v>Belum Diverifikasi</x:v>
      </x:c>
      <x:c r="W140" s="20" t="str"/>
      <x:c r="X140" s="20" t="str"/>
      <x:c r="Y140" s="20" t="str">
        <x:v>Ya</x:v>
      </x:c>
      <x:c r="Z140" s="20" t="str">
        <x:v>Semua</x:v>
      </x:c>
      <x:c r="AA140" s="33" t="n">
        <x:f>IF(L140="","",L140-TODAY())</x:f>
        <x:v>6</x:v>
      </x:c>
      <x:c r="AB140" s="20" t="str">
        <x:f>IF(AND(L140&lt;&gt;"",L140&lt;TODAY(),M140&lt;&gt;"Selesai &amp; Terverifikasi",M140&lt;&gt;"Tidak Berlaku"),"OVERDUE","")</x:f>
      </x:c>
      <x:c r="AC140" s="20" t="n">
        <x:f>IF(J140="Critical",4,IF(J140="High",3,IF(J140="Medium",2,1)))</x:f>
        <x:v>3</x:v>
      </x:c>
      <x:c r="AD140" s="20" t="n">
        <x:f>N140*AC140</x:f>
        <x:v>0</x:v>
      </x:c>
    </x:row>
    <x:row r="141">
      <x:c r="A141" s="20" t="str">
        <x:v>TSK-140</x:v>
      </x:c>
      <x:c r="B141" s="20" t="str">
        <x:v>EVT-GEN</x:v>
      </x:c>
      <x:c r="C141" s="20" t="str">
        <x:v>Seluruh Venue</x:v>
      </x:c>
      <x:c r="D141" s="20" t="str">
        <x:v>Souvenir</x:v>
      </x:c>
      <x:c r="E141" s="20" t="str">
        <x:v>Konfirmasi quantity dan buffer</x:v>
      </x:c>
      <x:c r="F141" s="20" t="str">
        <x:v>Jumlah sesuai penerima dengan cadangan minimal yang disetujui.</x:v>
      </x:c>
      <x:c r="G141" s="20" t="str">
        <x:v>Shared</x:v>
      </x:c>
      <x:c r="H141" s="20" t="str">
        <x:v>Souvenir &amp; Hadiah</x:v>
      </x:c>
      <x:c r="I141" s="20" t="str">
        <x:v>Fenti Novita Sari</x:v>
      </x:c>
      <x:c r="J141" s="20" t="str">
        <x:v>High</x:v>
      </x:c>
      <x:c r="K141" s="30" t="n">
        <x:v>46230</x:v>
      </x:c>
      <x:c r="L141" s="30" t="n">
        <x:v>46236</x:v>
      </x:c>
      <x:c r="M141" s="20" t="str">
        <x:v>Belum Dimulai</x:v>
      </x:c>
      <x:c r="N141" s="31" t="n">
        <x:v>0</x:v>
      </x:c>
      <x:c r="O141" s="20" t="str">
        <x:f>IF(M141="Selesai &amp; Terverifikasi","Ready",IF(M141="Terkendala","Not Ready",IF(AND(J141="Critical",L141&lt;=TODAY()+3,N141&lt;100),"At Risk","In Progress")))</x:f>
        <x:v>In Progress</x:v>
      </x:c>
      <x:c r="P141" s="20" t="str"/>
      <x:c r="Q141" s="20" t="str"/>
      <x:c r="R141" s="20" t="str"/>
      <x:c r="S141" s="20" t="str">
        <x:v>Initial Setup</x:v>
      </x:c>
      <x:c r="T141" s="32" t="n">
        <x:v>46229.833333333336</x:v>
      </x:c>
      <x:c r="U141" s="20" t="str"/>
      <x:c r="V141" s="20" t="str">
        <x:v>Belum Diverifikasi</x:v>
      </x:c>
      <x:c r="W141" s="20" t="str"/>
      <x:c r="X141" s="20" t="str"/>
      <x:c r="Y141" s="20" t="str">
        <x:v>Ya</x:v>
      </x:c>
      <x:c r="Z141" s="20" t="str">
        <x:v>Semua</x:v>
      </x:c>
      <x:c r="AA141" s="33" t="n">
        <x:f>IF(L141="","",L141-TODAY())</x:f>
        <x:v>7</x:v>
      </x:c>
      <x:c r="AB141" s="20" t="str">
        <x:f>IF(AND(L141&lt;&gt;"",L141&lt;TODAY(),M141&lt;&gt;"Selesai &amp; Terverifikasi",M141&lt;&gt;"Tidak Berlaku"),"OVERDUE","")</x:f>
      </x:c>
      <x:c r="AC141" s="20" t="n">
        <x:f>IF(J141="Critical",4,IF(J141="High",3,IF(J141="Medium",2,1)))</x:f>
        <x:v>3</x:v>
      </x:c>
      <x:c r="AD141" s="20" t="n">
        <x:f>N141*AC141</x:f>
        <x:v>0</x:v>
      </x:c>
    </x:row>
    <x:row r="142">
      <x:c r="A142" s="20" t="str">
        <x:v>TSK-141</x:v>
      </x:c>
      <x:c r="B142" s="20" t="str">
        <x:v>EVT-GEN</x:v>
      </x:c>
      <x:c r="C142" s="20" t="str">
        <x:v>Seluruh Venue</x:v>
      </x:c>
      <x:c r="D142" s="20" t="str">
        <x:v>Souvenir</x:v>
      </x:c>
      <x:c r="E142" s="20" t="str">
        <x:v>Finalisasi vendor dan PO souvenir</x:v>
      </x:c>
      <x:c r="F142" s="20" t="str">
        <x:v>Vendor, harga, waktu produksi dan terms disepakati.</x:v>
      </x:c>
      <x:c r="G142" s="20" t="str">
        <x:v>Shared</x:v>
      </x:c>
      <x:c r="H142" s="20" t="str">
        <x:v>Souvenir &amp; Hadiah</x:v>
      </x:c>
      <x:c r="I142" s="20" t="str">
        <x:v>Fenti Novita Sari</x:v>
      </x:c>
      <x:c r="J142" s="20" t="str">
        <x:v>Critical</x:v>
      </x:c>
      <x:c r="K142" s="30" t="n">
        <x:v>46230</x:v>
      </x:c>
      <x:c r="L142" s="30" t="n">
        <x:v>46236</x:v>
      </x:c>
      <x:c r="M142" s="20" t="str">
        <x:v>Belum Dimulai</x:v>
      </x:c>
      <x:c r="N142" s="31" t="n">
        <x:v>0</x:v>
      </x:c>
      <x:c r="O142" s="20" t="str">
        <x:f>IF(M142="Selesai &amp; Terverifikasi","Ready",IF(M142="Terkendala","Not Ready",IF(AND(J142="Critical",L142&lt;=TODAY()+3,N142&lt;100),"At Risk","In Progress")))</x:f>
        <x:v>In Progress</x:v>
      </x:c>
      <x:c r="P142" s="20" t="str"/>
      <x:c r="Q142" s="20" t="str"/>
      <x:c r="R142" s="20" t="str"/>
      <x:c r="S142" s="20" t="str">
        <x:v>Initial Setup</x:v>
      </x:c>
      <x:c r="T142" s="32" t="n">
        <x:v>46229.833333333336</x:v>
      </x:c>
      <x:c r="U142" s="20" t="str"/>
      <x:c r="V142" s="20" t="str">
        <x:v>Belum Diverifikasi</x:v>
      </x:c>
      <x:c r="W142" s="20" t="str"/>
      <x:c r="X142" s="20" t="str"/>
      <x:c r="Y142" s="20" t="str">
        <x:v>Ya</x:v>
      </x:c>
      <x:c r="Z142" s="20" t="str">
        <x:v>Semua</x:v>
      </x:c>
      <x:c r="AA142" s="33" t="n">
        <x:f>IF(L142="","",L142-TODAY())</x:f>
        <x:v>7</x:v>
      </x:c>
      <x:c r="AB142" s="20" t="str">
        <x:f>IF(AND(L142&lt;&gt;"",L142&lt;TODAY(),M142&lt;&gt;"Selesai &amp; Terverifikasi",M142&lt;&gt;"Tidak Berlaku"),"OVERDUE","")</x:f>
      </x:c>
      <x:c r="AC142" s="20" t="n">
        <x:f>IF(J142="Critical",4,IF(J142="High",3,IF(J142="Medium",2,1)))</x:f>
        <x:v>4</x:v>
      </x:c>
      <x:c r="AD142" s="20" t="n">
        <x:f>N142*AC142</x:f>
        <x:v>0</x:v>
      </x:c>
    </x:row>
    <x:row r="143">
      <x:c r="A143" s="20" t="str">
        <x:v>TSK-142</x:v>
      </x:c>
      <x:c r="B143" s="20" t="str">
        <x:v>EVT-GEN</x:v>
      </x:c>
      <x:c r="C143" s="20" t="str">
        <x:v>Seluruh Venue</x:v>
      </x:c>
      <x:c r="D143" s="20" t="str">
        <x:v>Souvenir</x:v>
      </x:c>
      <x:c r="E143" s="20" t="str">
        <x:v>Pantau produksi souvenir</x:v>
      </x:c>
      <x:c r="F143" s="20" t="str">
        <x:v>Progress produksi dan risiko keterlambatan dimonitor.</x:v>
      </x:c>
      <x:c r="G143" s="20" t="str">
        <x:v>Shared</x:v>
      </x:c>
      <x:c r="H143" s="20" t="str">
        <x:v>Souvenir &amp; Hadiah</x:v>
      </x:c>
      <x:c r="I143" s="20" t="str">
        <x:v>Fenti Novita Sari</x:v>
      </x:c>
      <x:c r="J143" s="20" t="str">
        <x:v>High</x:v>
      </x:c>
      <x:c r="K143" s="30" t="n">
        <x:v>46230</x:v>
      </x:c>
      <x:c r="L143" s="30" t="n">
        <x:v>46239</x:v>
      </x:c>
      <x:c r="M143" s="20" t="str">
        <x:v>Belum Dimulai</x:v>
      </x:c>
      <x:c r="N143" s="31" t="n">
        <x:v>0</x:v>
      </x:c>
      <x:c r="O143" s="20" t="str">
        <x:f>IF(M143="Selesai &amp; Terverifikasi","Ready",IF(M143="Terkendala","Not Ready",IF(AND(J143="Critical",L143&lt;=TODAY()+3,N143&lt;100),"At Risk","In Progress")))</x:f>
        <x:v>In Progress</x:v>
      </x:c>
      <x:c r="P143" s="20" t="str"/>
      <x:c r="Q143" s="20" t="str"/>
      <x:c r="R143" s="20" t="str"/>
      <x:c r="S143" s="20" t="str">
        <x:v>Initial Setup</x:v>
      </x:c>
      <x:c r="T143" s="32" t="n">
        <x:v>46229.833333333336</x:v>
      </x:c>
      <x:c r="U143" s="20" t="str"/>
      <x:c r="V143" s="20" t="str">
        <x:v>Belum Diverifikasi</x:v>
      </x:c>
      <x:c r="W143" s="20" t="str"/>
      <x:c r="X143" s="20" t="str"/>
      <x:c r="Y143" s="20" t="str">
        <x:v>Ya</x:v>
      </x:c>
      <x:c r="Z143" s="20" t="str">
        <x:v>Semua</x:v>
      </x:c>
      <x:c r="AA143" s="33" t="n">
        <x:f>IF(L143="","",L143-TODAY())</x:f>
        <x:v>10</x:v>
      </x:c>
      <x:c r="AB143" s="20" t="str">
        <x:f>IF(AND(L143&lt;&gt;"",L143&lt;TODAY(),M143&lt;&gt;"Selesai &amp; Terverifikasi",M143&lt;&gt;"Tidak Berlaku"),"OVERDUE","")</x:f>
      </x:c>
      <x:c r="AC143" s="20" t="n">
        <x:f>IF(J143="Critical",4,IF(J143="High",3,IF(J143="Medium",2,1)))</x:f>
        <x:v>3</x:v>
      </x:c>
      <x:c r="AD143" s="20" t="n">
        <x:f>N143*AC143</x:f>
        <x:v>0</x:v>
      </x:c>
    </x:row>
    <x:row r="144">
      <x:c r="A144" s="20" t="str">
        <x:v>TSK-143</x:v>
      </x:c>
      <x:c r="B144" s="20" t="str">
        <x:v>EVT-GEN</x:v>
      </x:c>
      <x:c r="C144" s="20" t="str">
        <x:v>Seluruh Venue</x:v>
      </x:c>
      <x:c r="D144" s="20" t="str">
        <x:v>Souvenir</x:v>
      </x:c>
      <x:c r="E144" s="20" t="str">
        <x:v>Lakukan quality control souvenir</x:v>
      </x:c>
      <x:c r="F144" s="20" t="str">
        <x:v>Sampel dan produk akhir memenuhi spesifikasi.</x:v>
      </x:c>
      <x:c r="G144" s="20" t="str">
        <x:v>Shared</x:v>
      </x:c>
      <x:c r="H144" s="20" t="str">
        <x:v>Souvenir &amp; Hadiah</x:v>
      </x:c>
      <x:c r="I144" s="20" t="str">
        <x:v>Fenti Novita Sari</x:v>
      </x:c>
      <x:c r="J144" s="20" t="str">
        <x:v>Critical</x:v>
      </x:c>
      <x:c r="K144" s="30" t="n">
        <x:v>46230</x:v>
      </x:c>
      <x:c r="L144" s="30" t="n">
        <x:v>46241</x:v>
      </x:c>
      <x:c r="M144" s="20" t="str">
        <x:v>Belum Dimulai</x:v>
      </x:c>
      <x:c r="N144" s="31" t="n">
        <x:v>0</x:v>
      </x:c>
      <x:c r="O144" s="20" t="str">
        <x:f>IF(M144="Selesai &amp; Terverifikasi","Ready",IF(M144="Terkendala","Not Ready",IF(AND(J144="Critical",L144&lt;=TODAY()+3,N144&lt;100),"At Risk","In Progress")))</x:f>
        <x:v>In Progress</x:v>
      </x:c>
      <x:c r="P144" s="20" t="str"/>
      <x:c r="Q144" s="20" t="str"/>
      <x:c r="R144" s="20" t="str"/>
      <x:c r="S144" s="20" t="str">
        <x:v>Initial Setup</x:v>
      </x:c>
      <x:c r="T144" s="32" t="n">
        <x:v>46229.833333333336</x:v>
      </x:c>
      <x:c r="U144" s="20" t="str"/>
      <x:c r="V144" s="20" t="str">
        <x:v>Belum Diverifikasi</x:v>
      </x:c>
      <x:c r="W144" s="20" t="str"/>
      <x:c r="X144" s="20" t="str"/>
      <x:c r="Y144" s="20" t="str">
        <x:v>Ya</x:v>
      </x:c>
      <x:c r="Z144" s="20" t="str">
        <x:v>Semua</x:v>
      </x:c>
      <x:c r="AA144" s="33" t="n">
        <x:f>IF(L144="","",L144-TODAY())</x:f>
        <x:v>12</x:v>
      </x:c>
      <x:c r="AB144" s="20" t="str">
        <x:f>IF(AND(L144&lt;&gt;"",L144&lt;TODAY(),M144&lt;&gt;"Selesai &amp; Terverifikasi",M144&lt;&gt;"Tidak Berlaku"),"OVERDUE","")</x:f>
      </x:c>
      <x:c r="AC144" s="20" t="n">
        <x:f>IF(J144="Critical",4,IF(J144="High",3,IF(J144="Medium",2,1)))</x:f>
        <x:v>4</x:v>
      </x:c>
      <x:c r="AD144" s="20" t="n">
        <x:f>N144*AC144</x:f>
        <x:v>0</x:v>
      </x:c>
    </x:row>
    <x:row r="145">
      <x:c r="A145" s="20" t="str">
        <x:v>TSK-144</x:v>
      </x:c>
      <x:c r="B145" s="20" t="str">
        <x:v>EVT-GEN</x:v>
      </x:c>
      <x:c r="C145" s="20" t="str">
        <x:v>Seluruh Venue</x:v>
      </x:c>
      <x:c r="D145" s="20" t="str">
        <x:v>Souvenir</x:v>
      </x:c>
      <x:c r="E145" s="20" t="str">
        <x:v>Siapkan packaging dan label</x:v>
      </x:c>
      <x:c r="F145" s="20" t="str">
        <x:v>Label penerima/kelompok dan packing list selesai.</x:v>
      </x:c>
      <x:c r="G145" s="20" t="str">
        <x:v>Shared</x:v>
      </x:c>
      <x:c r="H145" s="20" t="str">
        <x:v>Souvenir &amp; Hadiah</x:v>
      </x:c>
      <x:c r="I145" s="20" t="str">
        <x:v>Fenti Novita Sari</x:v>
      </x:c>
      <x:c r="J145" s="20" t="str">
        <x:v>High</x:v>
      </x:c>
      <x:c r="K145" s="30" t="n">
        <x:v>46230</x:v>
      </x:c>
      <x:c r="L145" s="30" t="n">
        <x:v>46242</x:v>
      </x:c>
      <x:c r="M145" s="20" t="str">
        <x:v>Belum Dimulai</x:v>
      </x:c>
      <x:c r="N145" s="31" t="n">
        <x:v>0</x:v>
      </x:c>
      <x:c r="O145" s="20" t="str">
        <x:f>IF(M145="Selesai &amp; Terverifikasi","Ready",IF(M145="Terkendala","Not Ready",IF(AND(J145="Critical",L145&lt;=TODAY()+3,N145&lt;100),"At Risk","In Progress")))</x:f>
        <x:v>In Progress</x:v>
      </x:c>
      <x:c r="P145" s="20" t="str"/>
      <x:c r="Q145" s="20" t="str"/>
      <x:c r="R145" s="20" t="str"/>
      <x:c r="S145" s="20" t="str">
        <x:v>Initial Setup</x:v>
      </x:c>
      <x:c r="T145" s="32" t="n">
        <x:v>46229.833333333336</x:v>
      </x:c>
      <x:c r="U145" s="20" t="str"/>
      <x:c r="V145" s="20" t="str">
        <x:v>Belum Diverifikasi</x:v>
      </x:c>
      <x:c r="W145" s="20" t="str"/>
      <x:c r="X145" s="20" t="str"/>
      <x:c r="Y145" s="20" t="str">
        <x:v>Ya</x:v>
      </x:c>
      <x:c r="Z145" s="20" t="str">
        <x:v>Semua</x:v>
      </x:c>
      <x:c r="AA145" s="33" t="n">
        <x:f>IF(L145="","",L145-TODAY())</x:f>
        <x:v>13</x:v>
      </x:c>
      <x:c r="AB145" s="20" t="str">
        <x:f>IF(AND(L145&lt;&gt;"",L145&lt;TODAY(),M145&lt;&gt;"Selesai &amp; Terverifikasi",M145&lt;&gt;"Tidak Berlaku"),"OVERDUE","")</x:f>
      </x:c>
      <x:c r="AC145" s="20" t="n">
        <x:f>IF(J145="Critical",4,IF(J145="High",3,IF(J145="Medium",2,1)))</x:f>
        <x:v>3</x:v>
      </x:c>
      <x:c r="AD145" s="20" t="n">
        <x:f>N145*AC145</x:f>
        <x:v>0</x:v>
      </x:c>
    </x:row>
    <x:row r="146">
      <x:c r="A146" s="20" t="str">
        <x:v>TSK-145</x:v>
      </x:c>
      <x:c r="B146" s="20" t="str">
        <x:v>EVT-GEN</x:v>
      </x:c>
      <x:c r="C146" s="20" t="str">
        <x:v>Seluruh Venue</x:v>
      </x:c>
      <x:c r="D146" s="20" t="str">
        <x:v>Souvenir</x:v>
      </x:c>
      <x:c r="E146" s="20" t="str">
        <x:v>Susun distribution plan</x:v>
      </x:c>
      <x:c r="F146" s="20" t="str">
        <x:v>PIC, lokasi, waktu dan bukti serah terima tersedia.</x:v>
      </x:c>
      <x:c r="G146" s="20" t="str">
        <x:v>Shared</x:v>
      </x:c>
      <x:c r="H146" s="20" t="str">
        <x:v>Souvenir &amp; Hadiah</x:v>
      </x:c>
      <x:c r="I146" s="20" t="str">
        <x:v>Fenti Novita Sari</x:v>
      </x:c>
      <x:c r="J146" s="20" t="str">
        <x:v>High</x:v>
      </x:c>
      <x:c r="K146" s="30" t="n">
        <x:v>46230</x:v>
      </x:c>
      <x:c r="L146" s="30" t="n">
        <x:v>46242</x:v>
      </x:c>
      <x:c r="M146" s="20" t="str">
        <x:v>Belum Dimulai</x:v>
      </x:c>
      <x:c r="N146" s="31" t="n">
        <x:v>0</x:v>
      </x:c>
      <x:c r="O146" s="20" t="str">
        <x:f>IF(M146="Selesai &amp; Terverifikasi","Ready",IF(M146="Terkendala","Not Ready",IF(AND(J146="Critical",L146&lt;=TODAY()+3,N146&lt;100),"At Risk","In Progress")))</x:f>
        <x:v>In Progress</x:v>
      </x:c>
      <x:c r="P146" s="20" t="str"/>
      <x:c r="Q146" s="20" t="str"/>
      <x:c r="R146" s="20" t="str"/>
      <x:c r="S146" s="20" t="str">
        <x:v>Initial Setup</x:v>
      </x:c>
      <x:c r="T146" s="32" t="n">
        <x:v>46229.833333333336</x:v>
      </x:c>
      <x:c r="U146" s="20" t="str"/>
      <x:c r="V146" s="20" t="str">
        <x:v>Belum Diverifikasi</x:v>
      </x:c>
      <x:c r="W146" s="20" t="str"/>
      <x:c r="X146" s="20" t="str"/>
      <x:c r="Y146" s="20" t="str">
        <x:v>Ya</x:v>
      </x:c>
      <x:c r="Z146" s="20" t="str">
        <x:v>Semua</x:v>
      </x:c>
      <x:c r="AA146" s="33" t="n">
        <x:f>IF(L146="","",L146-TODAY())</x:f>
        <x:v>13</x:v>
      </x:c>
      <x:c r="AB146" s="20" t="str">
        <x:f>IF(AND(L146&lt;&gt;"",L146&lt;TODAY(),M146&lt;&gt;"Selesai &amp; Terverifikasi",M146&lt;&gt;"Tidak Berlaku"),"OVERDUE","")</x:f>
      </x:c>
      <x:c r="AC146" s="20" t="n">
        <x:f>IF(J146="Critical",4,IF(J146="High",3,IF(J146="Medium",2,1)))</x:f>
        <x:v>3</x:v>
      </x:c>
      <x:c r="AD146" s="20" t="n">
        <x:f>N146*AC146</x:f>
        <x:v>0</x:v>
      </x:c>
    </x:row>
    <x:row r="147">
      <x:c r="A147" s="20" t="str">
        <x:v>TSK-146</x:v>
      </x:c>
      <x:c r="B147" s="20" t="str">
        <x:v>EVT-GEN</x:v>
      </x:c>
      <x:c r="C147" s="20" t="str">
        <x:v>Seluruh Venue</x:v>
      </x:c>
      <x:c r="D147" s="20" t="str">
        <x:v>Souvenir</x:v>
      </x:c>
      <x:c r="E147" s="20" t="str">
        <x:v>Siapkan souvenir cadangan</x:v>
      </x:c>
      <x:c r="F147" s="20" t="str">
        <x:v>Buffer tersimpan di command center atau titik distribusi.</x:v>
      </x:c>
      <x:c r="G147" s="20" t="str">
        <x:v>Shared</x:v>
      </x:c>
      <x:c r="H147" s="20" t="str">
        <x:v>Souvenir &amp; Hadiah</x:v>
      </x:c>
      <x:c r="I147" s="20" t="str">
        <x:v>Fenti Novita Sari</x:v>
      </x:c>
      <x:c r="J147" s="20" t="str">
        <x:v>Medium</x:v>
      </x:c>
      <x:c r="K147" s="30" t="n">
        <x:v>46230</x:v>
      </x:c>
      <x:c r="L147" s="30" t="n">
        <x:v>46243</x:v>
      </x:c>
      <x:c r="M147" s="20" t="str">
        <x:v>Belum Dimulai</x:v>
      </x:c>
      <x:c r="N147" s="31" t="n">
        <x:v>0</x:v>
      </x:c>
      <x:c r="O147" s="20" t="str">
        <x:f>IF(M147="Selesai &amp; Terverifikasi","Ready",IF(M147="Terkendala","Not Ready",IF(AND(J147="Critical",L147&lt;=TODAY()+3,N147&lt;100),"At Risk","In Progress")))</x:f>
        <x:v>In Progress</x:v>
      </x:c>
      <x:c r="P147" s="20" t="str"/>
      <x:c r="Q147" s="20" t="str"/>
      <x:c r="R147" s="20" t="str"/>
      <x:c r="S147" s="20" t="str">
        <x:v>Initial Setup</x:v>
      </x:c>
      <x:c r="T147" s="32" t="n">
        <x:v>46229.833333333336</x:v>
      </x:c>
      <x:c r="U147" s="20" t="str"/>
      <x:c r="V147" s="20" t="str">
        <x:v>Belum Diverifikasi</x:v>
      </x:c>
      <x:c r="W147" s="20" t="str"/>
      <x:c r="X147" s="20" t="str"/>
      <x:c r="Y147" s="20" t="str">
        <x:v>Ya</x:v>
      </x:c>
      <x:c r="Z147" s="20" t="str">
        <x:v>Semua</x:v>
      </x:c>
      <x:c r="AA147" s="33" t="n">
        <x:f>IF(L147="","",L147-TODAY())</x:f>
        <x:v>14</x:v>
      </x:c>
      <x:c r="AB147" s="20" t="str">
        <x:f>IF(AND(L147&lt;&gt;"",L147&lt;TODAY(),M147&lt;&gt;"Selesai &amp; Terverifikasi",M147&lt;&gt;"Tidak Berlaku"),"OVERDUE","")</x:f>
      </x:c>
      <x:c r="AC147" s="20" t="n">
        <x:f>IF(J147="Critical",4,IF(J147="High",3,IF(J147="Medium",2,1)))</x:f>
        <x:v>2</x:v>
      </x:c>
      <x:c r="AD147" s="20" t="n">
        <x:f>N147*AC147</x:f>
        <x:v>0</x:v>
      </x:c>
    </x:row>
    <x:row r="148">
      <x:c r="A148" s="20" t="str">
        <x:v>TSK-147</x:v>
      </x:c>
      <x:c r="B148" s="20" t="str">
        <x:v>EVT-GEN</x:v>
      </x:c>
      <x:c r="C148" s="20" t="str">
        <x:v>Seluruh Venue</x:v>
      </x:c>
      <x:c r="D148" s="20" t="str">
        <x:v>Documentation</x:v>
      </x:c>
      <x:c r="E148" s="20" t="str">
        <x:v>Susun documentation plan</x:v>
      </x:c>
      <x:c r="F148" s="20" t="str">
        <x:v>Shot list, venue, momen penting, PIC dan deliverable disetujui.</x:v>
      </x:c>
      <x:c r="G148" s="20" t="str">
        <x:v>Shared</x:v>
      </x:c>
      <x:c r="H148" s="20" t="str">
        <x:v>Publikasi &amp; Dokumentasi</x:v>
      </x:c>
      <x:c r="I148" s="20" t="str">
        <x:v>Milna</x:v>
      </x:c>
      <x:c r="J148" s="20" t="str">
        <x:v>High</x:v>
      </x:c>
      <x:c r="K148" s="30" t="n">
        <x:v>46230</x:v>
      </x:c>
      <x:c r="L148" s="30" t="n">
        <x:v>46236</x:v>
      </x:c>
      <x:c r="M148" s="20" t="str">
        <x:v>Belum Dimulai</x:v>
      </x:c>
      <x:c r="N148" s="31" t="n">
        <x:v>0</x:v>
      </x:c>
      <x:c r="O148" s="20" t="str">
        <x:f>IF(M148="Selesai &amp; Terverifikasi","Ready",IF(M148="Terkendala","Not Ready",IF(AND(J148="Critical",L148&lt;=TODAY()+3,N148&lt;100),"At Risk","In Progress")))</x:f>
        <x:v>In Progress</x:v>
      </x:c>
      <x:c r="P148" s="20" t="str"/>
      <x:c r="Q148" s="20" t="str"/>
      <x:c r="R148" s="20" t="str"/>
      <x:c r="S148" s="20" t="str">
        <x:v>Initial Setup</x:v>
      </x:c>
      <x:c r="T148" s="32" t="n">
        <x:v>46229.833333333336</x:v>
      </x:c>
      <x:c r="U148" s="20" t="str"/>
      <x:c r="V148" s="20" t="str">
        <x:v>Belum Diverifikasi</x:v>
      </x:c>
      <x:c r="W148" s="20" t="str"/>
      <x:c r="X148" s="20" t="str"/>
      <x:c r="Y148" s="20" t="str">
        <x:v>Ya</x:v>
      </x:c>
      <x:c r="Z148" s="20" t="str">
        <x:v>Semua</x:v>
      </x:c>
      <x:c r="AA148" s="33" t="n">
        <x:f>IF(L148="","",L148-TODAY())</x:f>
        <x:v>7</x:v>
      </x:c>
      <x:c r="AB148" s="20" t="str">
        <x:f>IF(AND(L148&lt;&gt;"",L148&lt;TODAY(),M148&lt;&gt;"Selesai &amp; Terverifikasi",M148&lt;&gt;"Tidak Berlaku"),"OVERDUE","")</x:f>
      </x:c>
      <x:c r="AC148" s="20" t="n">
        <x:f>IF(J148="Critical",4,IF(J148="High",3,IF(J148="Medium",2,1)))</x:f>
        <x:v>3</x:v>
      </x:c>
      <x:c r="AD148" s="20" t="n">
        <x:f>N148*AC148</x:f>
        <x:v>0</x:v>
      </x:c>
    </x:row>
    <x:row r="149">
      <x:c r="A149" s="20" t="str">
        <x:v>TSK-148</x:v>
      </x:c>
      <x:c r="B149" s="20" t="str">
        <x:v>EVT-GEN</x:v>
      </x:c>
      <x:c r="C149" s="20" t="str">
        <x:v>Seluruh Venue</x:v>
      </x:c>
      <x:c r="D149" s="20" t="str">
        <x:v>Documentation</x:v>
      </x:c>
      <x:c r="E149" s="20" t="str">
        <x:v>Tetapkan fotografer dan videografer</x:v>
      </x:c>
      <x:c r="F149" s="20" t="str">
        <x:v>Personel, shift, peralatan dan backup tersedia.</x:v>
      </x:c>
      <x:c r="G149" s="20" t="str">
        <x:v>Shared</x:v>
      </x:c>
      <x:c r="H149" s="20" t="str">
        <x:v>Publikasi &amp; Dokumentasi</x:v>
      </x:c>
      <x:c r="I149" s="20" t="str">
        <x:v>Milna</x:v>
      </x:c>
      <x:c r="J149" s="20" t="str">
        <x:v>High</x:v>
      </x:c>
      <x:c r="K149" s="30" t="n">
        <x:v>46230</x:v>
      </x:c>
      <x:c r="L149" s="30" t="n">
        <x:v>46239</x:v>
      </x:c>
      <x:c r="M149" s="20" t="str">
        <x:v>Belum Dimulai</x:v>
      </x:c>
      <x:c r="N149" s="31" t="n">
        <x:v>0</x:v>
      </x:c>
      <x:c r="O149" s="20" t="str">
        <x:f>IF(M149="Selesai &amp; Terverifikasi","Ready",IF(M149="Terkendala","Not Ready",IF(AND(J149="Critical",L149&lt;=TODAY()+3,N149&lt;100),"At Risk","In Progress")))</x:f>
        <x:v>In Progress</x:v>
      </x:c>
      <x:c r="P149" s="20" t="str"/>
      <x:c r="Q149" s="20" t="str"/>
      <x:c r="R149" s="20" t="str"/>
      <x:c r="S149" s="20" t="str">
        <x:v>Initial Setup</x:v>
      </x:c>
      <x:c r="T149" s="32" t="n">
        <x:v>46229.833333333336</x:v>
      </x:c>
      <x:c r="U149" s="20" t="str"/>
      <x:c r="V149" s="20" t="str">
        <x:v>Belum Diverifikasi</x:v>
      </x:c>
      <x:c r="W149" s="20" t="str"/>
      <x:c r="X149" s="20" t="str"/>
      <x:c r="Y149" s="20" t="str">
        <x:v>Ya</x:v>
      </x:c>
      <x:c r="Z149" s="20" t="str">
        <x:v>Semua</x:v>
      </x:c>
      <x:c r="AA149" s="33" t="n">
        <x:f>IF(L149="","",L149-TODAY())</x:f>
        <x:v>10</x:v>
      </x:c>
      <x:c r="AB149" s="20" t="str">
        <x:f>IF(AND(L149&lt;&gt;"",L149&lt;TODAY(),M149&lt;&gt;"Selesai &amp; Terverifikasi",M149&lt;&gt;"Tidak Berlaku"),"OVERDUE","")</x:f>
      </x:c>
      <x:c r="AC149" s="20" t="n">
        <x:f>IF(J149="Critical",4,IF(J149="High",3,IF(J149="Medium",2,1)))</x:f>
        <x:v>3</x:v>
      </x:c>
      <x:c r="AD149" s="20" t="n">
        <x:f>N149*AC149</x:f>
        <x:v>0</x:v>
      </x:c>
    </x:row>
    <x:row r="150">
      <x:c r="A150" s="20" t="str">
        <x:v>TSK-149</x:v>
      </x:c>
      <x:c r="B150" s="20" t="str">
        <x:v>EVT-GEN</x:v>
      </x:c>
      <x:c r="C150" s="20" t="str">
        <x:v>Seluruh Venue</x:v>
      </x:c>
      <x:c r="D150" s="20" t="str">
        <x:v>Documentation</x:v>
      </x:c>
      <x:c r="E150" s="20" t="str">
        <x:v>Siapkan media storage dan backup</x:v>
      </x:c>
      <x:c r="F150" s="20" t="str">
        <x:v>Penyimpanan, naming convention dan backup harian tersedia.</x:v>
      </x:c>
      <x:c r="G150" s="20" t="str">
        <x:v>Shared</x:v>
      </x:c>
      <x:c r="H150" s="20" t="str">
        <x:v>Publikasi &amp; Dokumentasi</x:v>
      </x:c>
      <x:c r="I150" s="20" t="str">
        <x:v>Milna</x:v>
      </x:c>
      <x:c r="J150" s="20" t="str">
        <x:v>High</x:v>
      </x:c>
      <x:c r="K150" s="30" t="n">
        <x:v>46230</x:v>
      </x:c>
      <x:c r="L150" s="30" t="n">
        <x:v>46241</x:v>
      </x:c>
      <x:c r="M150" s="20" t="str">
        <x:v>Belum Dimulai</x:v>
      </x:c>
      <x:c r="N150" s="31" t="n">
        <x:v>0</x:v>
      </x:c>
      <x:c r="O150" s="20" t="str">
        <x:f>IF(M150="Selesai &amp; Terverifikasi","Ready",IF(M150="Terkendala","Not Ready",IF(AND(J150="Critical",L150&lt;=TODAY()+3,N150&lt;100),"At Risk","In Progress")))</x:f>
        <x:v>In Progress</x:v>
      </x:c>
      <x:c r="P150" s="20" t="str"/>
      <x:c r="Q150" s="20" t="str"/>
      <x:c r="R150" s="20" t="str"/>
      <x:c r="S150" s="20" t="str">
        <x:v>Initial Setup</x:v>
      </x:c>
      <x:c r="T150" s="32" t="n">
        <x:v>46229.833333333336</x:v>
      </x:c>
      <x:c r="U150" s="20" t="str"/>
      <x:c r="V150" s="20" t="str">
        <x:v>Belum Diverifikasi</x:v>
      </x:c>
      <x:c r="W150" s="20" t="str"/>
      <x:c r="X150" s="20" t="str"/>
      <x:c r="Y150" s="20" t="str">
        <x:v>Ya</x:v>
      </x:c>
      <x:c r="Z150" s="20" t="str">
        <x:v>Semua</x:v>
      </x:c>
      <x:c r="AA150" s="33" t="n">
        <x:f>IF(L150="","",L150-TODAY())</x:f>
        <x:v>12</x:v>
      </x:c>
      <x:c r="AB150" s="20" t="str">
        <x:f>IF(AND(L150&lt;&gt;"",L150&lt;TODAY(),M150&lt;&gt;"Selesai &amp; Terverifikasi",M150&lt;&gt;"Tidak Berlaku"),"OVERDUE","")</x:f>
      </x:c>
      <x:c r="AC150" s="20" t="n">
        <x:f>IF(J150="Critical",4,IF(J150="High",3,IF(J150="Medium",2,1)))</x:f>
        <x:v>3</x:v>
      </x:c>
      <x:c r="AD150" s="20" t="n">
        <x:f>N150*AC150</x:f>
        <x:v>0</x:v>
      </x:c>
    </x:row>
    <x:row r="151">
      <x:c r="A151" s="20" t="str">
        <x:v>TSK-150</x:v>
      </x:c>
      <x:c r="B151" s="20" t="str">
        <x:v>EVT-GEN</x:v>
      </x:c>
      <x:c r="C151" s="20" t="str">
        <x:v>Seluruh Venue</x:v>
      </x:c>
      <x:c r="D151" s="20" t="str">
        <x:v>Documentation</x:v>
      </x:c>
      <x:c r="E151" s="20" t="str">
        <x:v>Finalisasi branding dan asset visual</x:v>
      </x:c>
      <x:c r="F151" s="20" t="str">
        <x:v>Backdrop, lower third, signage dan template sesuai PI/PIM.</x:v>
      </x:c>
      <x:c r="G151" s="20" t="str">
        <x:v>Shared</x:v>
      </x:c>
      <x:c r="H151" s="20" t="str">
        <x:v>Publikasi &amp; Dokumentasi</x:v>
      </x:c>
      <x:c r="I151" s="20" t="str">
        <x:v>Milna</x:v>
      </x:c>
      <x:c r="J151" s="20" t="str">
        <x:v>High</x:v>
      </x:c>
      <x:c r="K151" s="30" t="n">
        <x:v>46230</x:v>
      </x:c>
      <x:c r="L151" s="30" t="n">
        <x:v>46239</x:v>
      </x:c>
      <x:c r="M151" s="20" t="str">
        <x:v>Belum Dimulai</x:v>
      </x:c>
      <x:c r="N151" s="31" t="n">
        <x:v>0</x:v>
      </x:c>
      <x:c r="O151" s="20" t="str">
        <x:f>IF(M151="Selesai &amp; Terverifikasi","Ready",IF(M151="Terkendala","Not Ready",IF(AND(J151="Critical",L151&lt;=TODAY()+3,N151&lt;100),"At Risk","In Progress")))</x:f>
        <x:v>In Progress</x:v>
      </x:c>
      <x:c r="P151" s="20" t="str"/>
      <x:c r="Q151" s="20" t="str"/>
      <x:c r="R151" s="20" t="str"/>
      <x:c r="S151" s="20" t="str">
        <x:v>Initial Setup</x:v>
      </x:c>
      <x:c r="T151" s="32" t="n">
        <x:v>46229.833333333336</x:v>
      </x:c>
      <x:c r="U151" s="20" t="str"/>
      <x:c r="V151" s="20" t="str">
        <x:v>Belum Diverifikasi</x:v>
      </x:c>
      <x:c r="W151" s="20" t="str"/>
      <x:c r="X151" s="20" t="str"/>
      <x:c r="Y151" s="20" t="str">
        <x:v>Ya</x:v>
      </x:c>
      <x:c r="Z151" s="20" t="str">
        <x:v>Semua</x:v>
      </x:c>
      <x:c r="AA151" s="33" t="n">
        <x:f>IF(L151="","",L151-TODAY())</x:f>
        <x:v>10</x:v>
      </x:c>
      <x:c r="AB151" s="20" t="str">
        <x:f>IF(AND(L151&lt;&gt;"",L151&lt;TODAY(),M151&lt;&gt;"Selesai &amp; Terverifikasi",M151&lt;&gt;"Tidak Berlaku"),"OVERDUE","")</x:f>
      </x:c>
      <x:c r="AC151" s="20" t="n">
        <x:f>IF(J151="Critical",4,IF(J151="High",3,IF(J151="Medium",2,1)))</x:f>
        <x:v>3</x:v>
      </x:c>
      <x:c r="AD151" s="20" t="n">
        <x:f>N151*AC151</x:f>
        <x:v>0</x:v>
      </x:c>
    </x:row>
    <x:row r="152">
      <x:c r="A152" s="20" t="str">
        <x:v>TSK-151</x:v>
      </x:c>
      <x:c r="B152" s="20" t="str">
        <x:v>EVT-GEN</x:v>
      </x:c>
      <x:c r="C152" s="20" t="str">
        <x:v>Seluruh Venue</x:v>
      </x:c>
      <x:c r="D152" s="20" t="str">
        <x:v>Documentation</x:v>
      </x:c>
      <x:c r="E152" s="20" t="str">
        <x:v>Siapkan publikasi internal dan media sosial</x:v>
      </x:c>
      <x:c r="F152" s="20" t="str">
        <x:v>Approval flow dan konten harian ditetapkan.</x:v>
      </x:c>
      <x:c r="G152" s="20" t="str">
        <x:v>Shared</x:v>
      </x:c>
      <x:c r="H152" s="20" t="str">
        <x:v>Publikasi &amp; Dokumentasi</x:v>
      </x:c>
      <x:c r="I152" s="20" t="str">
        <x:v>Milna</x:v>
      </x:c>
      <x:c r="J152" s="20" t="str">
        <x:v>Medium</x:v>
      </x:c>
      <x:c r="K152" s="30" t="n">
        <x:v>46230</x:v>
      </x:c>
      <x:c r="L152" s="30" t="n">
        <x:v>46240</x:v>
      </x:c>
      <x:c r="M152" s="20" t="str">
        <x:v>Belum Dimulai</x:v>
      </x:c>
      <x:c r="N152" s="31" t="n">
        <x:v>0</x:v>
      </x:c>
      <x:c r="O152" s="20" t="str">
        <x:f>IF(M152="Selesai &amp; Terverifikasi","Ready",IF(M152="Terkendala","Not Ready",IF(AND(J152="Critical",L152&lt;=TODAY()+3,N152&lt;100),"At Risk","In Progress")))</x:f>
        <x:v>In Progress</x:v>
      </x:c>
      <x:c r="P152" s="20" t="str"/>
      <x:c r="Q152" s="20" t="str"/>
      <x:c r="R152" s="20" t="str"/>
      <x:c r="S152" s="20" t="str">
        <x:v>Initial Setup</x:v>
      </x:c>
      <x:c r="T152" s="32" t="n">
        <x:v>46229.833333333336</x:v>
      </x:c>
      <x:c r="U152" s="20" t="str"/>
      <x:c r="V152" s="20" t="str">
        <x:v>Belum Diverifikasi</x:v>
      </x:c>
      <x:c r="W152" s="20" t="str"/>
      <x:c r="X152" s="20" t="str"/>
      <x:c r="Y152" s="20" t="str">
        <x:v>Ya</x:v>
      </x:c>
      <x:c r="Z152" s="20" t="str">
        <x:v>Semua</x:v>
      </x:c>
      <x:c r="AA152" s="33" t="n">
        <x:f>IF(L152="","",L152-TODAY())</x:f>
        <x:v>11</x:v>
      </x:c>
      <x:c r="AB152" s="20" t="str">
        <x:f>IF(AND(L152&lt;&gt;"",L152&lt;TODAY(),M152&lt;&gt;"Selesai &amp; Terverifikasi",M152&lt;&gt;"Tidak Berlaku"),"OVERDUE","")</x:f>
      </x:c>
      <x:c r="AC152" s="20" t="n">
        <x:f>IF(J152="Critical",4,IF(J152="High",3,IF(J152="Medium",2,1)))</x:f>
        <x:v>2</x:v>
      </x:c>
      <x:c r="AD152" s="20" t="n">
        <x:f>N152*AC152</x:f>
        <x:v>0</x:v>
      </x:c>
    </x:row>
    <x:row r="153">
      <x:c r="A153" s="20" t="str">
        <x:v>TSK-152</x:v>
      </x:c>
      <x:c r="B153" s="20" t="str">
        <x:v>EVT-GEN</x:v>
      </x:c>
      <x:c r="C153" s="20" t="str">
        <x:v>Seluruh Venue</x:v>
      </x:c>
      <x:c r="D153" s="20" t="str">
        <x:v>Documentation</x:v>
      </x:c>
      <x:c r="E153" s="20" t="str">
        <x:v>Siapkan mekanisme foto bersama</x:v>
      </x:c>
      <x:c r="F153" s="20" t="str">
        <x:v>Posisi, urutan, crowd control dan file delivery siap.</x:v>
      </x:c>
      <x:c r="G153" s="20" t="str">
        <x:v>Shared</x:v>
      </x:c>
      <x:c r="H153" s="20" t="str">
        <x:v>Publikasi &amp; Dokumentasi</x:v>
      </x:c>
      <x:c r="I153" s="20" t="str">
        <x:v>Milna</x:v>
      </x:c>
      <x:c r="J153" s="20" t="str">
        <x:v>High</x:v>
      </x:c>
      <x:c r="K153" s="30" t="n">
        <x:v>46230</x:v>
      </x:c>
      <x:c r="L153" s="30" t="n">
        <x:v>46242</x:v>
      </x:c>
      <x:c r="M153" s="20" t="str">
        <x:v>Belum Dimulai</x:v>
      </x:c>
      <x:c r="N153" s="31" t="n">
        <x:v>0</x:v>
      </x:c>
      <x:c r="O153" s="20" t="str">
        <x:f>IF(M153="Selesai &amp; Terverifikasi","Ready",IF(M153="Terkendala","Not Ready",IF(AND(J153="Critical",L153&lt;=TODAY()+3,N153&lt;100),"At Risk","In Progress")))</x:f>
        <x:v>In Progress</x:v>
      </x:c>
      <x:c r="P153" s="20" t="str"/>
      <x:c r="Q153" s="20" t="str"/>
      <x:c r="R153" s="20" t="str"/>
      <x:c r="S153" s="20" t="str">
        <x:v>Initial Setup</x:v>
      </x:c>
      <x:c r="T153" s="32" t="n">
        <x:v>46229.833333333336</x:v>
      </x:c>
      <x:c r="U153" s="20" t="str"/>
      <x:c r="V153" s="20" t="str">
        <x:v>Belum Diverifikasi</x:v>
      </x:c>
      <x:c r="W153" s="20" t="str"/>
      <x:c r="X153" s="20" t="str"/>
      <x:c r="Y153" s="20" t="str">
        <x:v>Ya</x:v>
      </x:c>
      <x:c r="Z153" s="20" t="str">
        <x:v>Semua</x:v>
      </x:c>
      <x:c r="AA153" s="33" t="n">
        <x:f>IF(L153="","",L153-TODAY())</x:f>
        <x:v>13</x:v>
      </x:c>
      <x:c r="AB153" s="20" t="str">
        <x:f>IF(AND(L153&lt;&gt;"",L153&lt;TODAY(),M153&lt;&gt;"Selesai &amp; Terverifikasi",M153&lt;&gt;"Tidak Berlaku"),"OVERDUE","")</x:f>
      </x:c>
      <x:c r="AC153" s="20" t="n">
        <x:f>IF(J153="Critical",4,IF(J153="High",3,IF(J153="Medium",2,1)))</x:f>
        <x:v>3</x:v>
      </x:c>
      <x:c r="AD153" s="20" t="n">
        <x:f>N153*AC153</x:f>
        <x:v>0</x:v>
      </x:c>
    </x:row>
    <x:row r="154">
      <x:c r="A154" s="20" t="str">
        <x:v>TSK-153</x:v>
      </x:c>
      <x:c r="B154" s="20" t="str">
        <x:v>EVT-GEN</x:v>
      </x:c>
      <x:c r="C154" s="20" t="str">
        <x:v>Seluruh Venue</x:v>
      </x:c>
      <x:c r="D154" s="20" t="str">
        <x:v>Documentation</x:v>
      </x:c>
      <x:c r="E154" s="20" t="str">
        <x:v>Siapkan dokumentasi hasil rapat</x:v>
      </x:c>
      <x:c r="F154" s="20" t="str">
        <x:v>Notulen, keputusan, foto dan materi disimpan terstruktur.</x:v>
      </x:c>
      <x:c r="G154" s="20" t="str">
        <x:v>Shared</x:v>
      </x:c>
      <x:c r="H154" s="20" t="str">
        <x:v>Publikasi &amp; Dokumentasi</x:v>
      </x:c>
      <x:c r="I154" s="20" t="str">
        <x:v>Milna</x:v>
      </x:c>
      <x:c r="J154" s="20" t="str">
        <x:v>Critical</x:v>
      </x:c>
      <x:c r="K154" s="30" t="n">
        <x:v>46230</x:v>
      </x:c>
      <x:c r="L154" s="30" t="n">
        <x:v>46242</x:v>
      </x:c>
      <x:c r="M154" s="20" t="str">
        <x:v>Belum Dimulai</x:v>
      </x:c>
      <x:c r="N154" s="31" t="n">
        <x:v>0</x:v>
      </x:c>
      <x:c r="O154" s="20" t="str">
        <x:f>IF(M154="Selesai &amp; Terverifikasi","Ready",IF(M154="Terkendala","Not Ready",IF(AND(J154="Critical",L154&lt;=TODAY()+3,N154&lt;100),"At Risk","In Progress")))</x:f>
        <x:v>In Progress</x:v>
      </x:c>
      <x:c r="P154" s="20" t="str"/>
      <x:c r="Q154" s="20" t="str"/>
      <x:c r="R154" s="20" t="str"/>
      <x:c r="S154" s="20" t="str">
        <x:v>Initial Setup</x:v>
      </x:c>
      <x:c r="T154" s="32" t="n">
        <x:v>46229.833333333336</x:v>
      </x:c>
      <x:c r="U154" s="20" t="str"/>
      <x:c r="V154" s="20" t="str">
        <x:v>Belum Diverifikasi</x:v>
      </x:c>
      <x:c r="W154" s="20" t="str"/>
      <x:c r="X154" s="20" t="str"/>
      <x:c r="Y154" s="20" t="str">
        <x:v>Ya</x:v>
      </x:c>
      <x:c r="Z154" s="20" t="str">
        <x:v>Semua</x:v>
      </x:c>
      <x:c r="AA154" s="33" t="n">
        <x:f>IF(L154="","",L154-TODAY())</x:f>
        <x:v>13</x:v>
      </x:c>
      <x:c r="AB154" s="20" t="str">
        <x:f>IF(AND(L154&lt;&gt;"",L154&lt;TODAY(),M154&lt;&gt;"Selesai &amp; Terverifikasi",M154&lt;&gt;"Tidak Berlaku"),"OVERDUE","")</x:f>
      </x:c>
      <x:c r="AC154" s="20" t="n">
        <x:f>IF(J154="Critical",4,IF(J154="High",3,IF(J154="Medium",2,1)))</x:f>
        <x:v>4</x:v>
      </x:c>
      <x:c r="AD154" s="20" t="n">
        <x:f>N154*AC154</x:f>
        <x:v>0</x:v>
      </x:c>
    </x:row>
    <x:row r="155">
      <x:c r="A155" s="20" t="str">
        <x:v>TSK-154</x:v>
      </x:c>
      <x:c r="B155" s="20" t="str">
        <x:v>EVT-GEN</x:v>
      </x:c>
      <x:c r="C155" s="20" t="str">
        <x:v>Seluruh Venue</x:v>
      </x:c>
      <x:c r="D155" s="20" t="str">
        <x:v>Documentation</x:v>
      </x:c>
      <x:c r="E155" s="20" t="str">
        <x:v>Siapkan daily recap</x:v>
      </x:c>
      <x:c r="F155" s="20" t="str">
        <x:v>Ringkasan kegiatan dan isu dikirim setiap hari.</x:v>
      </x:c>
      <x:c r="G155" s="20" t="str">
        <x:v>Shared</x:v>
      </x:c>
      <x:c r="H155" s="20" t="str">
        <x:v>Publikasi &amp; Dokumentasi</x:v>
      </x:c>
      <x:c r="I155" s="20" t="str">
        <x:v>Milna</x:v>
      </x:c>
      <x:c r="J155" s="20" t="str">
        <x:v>Medium</x:v>
      </x:c>
      <x:c r="K155" s="30" t="n">
        <x:v>46230</x:v>
      </x:c>
      <x:c r="L155" s="30" t="n">
        <x:v>46243</x:v>
      </x:c>
      <x:c r="M155" s="20" t="str">
        <x:v>Belum Dimulai</x:v>
      </x:c>
      <x:c r="N155" s="31" t="n">
        <x:v>0</x:v>
      </x:c>
      <x:c r="O155" s="20" t="str">
        <x:f>IF(M155="Selesai &amp; Terverifikasi","Ready",IF(M155="Terkendala","Not Ready",IF(AND(J155="Critical",L155&lt;=TODAY()+3,N155&lt;100),"At Risk","In Progress")))</x:f>
        <x:v>In Progress</x:v>
      </x:c>
      <x:c r="P155" s="20" t="str"/>
      <x:c r="Q155" s="20" t="str"/>
      <x:c r="R155" s="20" t="str"/>
      <x:c r="S155" s="20" t="str">
        <x:v>Initial Setup</x:v>
      </x:c>
      <x:c r="T155" s="32" t="n">
        <x:v>46229.833333333336</x:v>
      </x:c>
      <x:c r="U155" s="20" t="str"/>
      <x:c r="V155" s="20" t="str">
        <x:v>Belum Diverifikasi</x:v>
      </x:c>
      <x:c r="W155" s="20" t="str"/>
      <x:c r="X155" s="20" t="str"/>
      <x:c r="Y155" s="20" t="str">
        <x:v>Ya</x:v>
      </x:c>
      <x:c r="Z155" s="20" t="str">
        <x:v>Semua</x:v>
      </x:c>
      <x:c r="AA155" s="33" t="n">
        <x:f>IF(L155="","",L155-TODAY())</x:f>
        <x:v>14</x:v>
      </x:c>
      <x:c r="AB155" s="20" t="str">
        <x:f>IF(AND(L155&lt;&gt;"",L155&lt;TODAY(),M155&lt;&gt;"Selesai &amp; Terverifikasi",M155&lt;&gt;"Tidak Berlaku"),"OVERDUE","")</x:f>
      </x:c>
      <x:c r="AC155" s="20" t="n">
        <x:f>IF(J155="Critical",4,IF(J155="High",3,IF(J155="Medium",2,1)))</x:f>
        <x:v>2</x:v>
      </x:c>
      <x:c r="AD155" s="20" t="n">
        <x:f>N155*AC155</x:f>
        <x:v>0</x:v>
      </x:c>
    </x:row>
    <x:row r="156">
      <x:c r="A156" s="20" t="str">
        <x:v>TSK-155</x:v>
      </x:c>
      <x:c r="B156" s="20" t="str">
        <x:v>EVT-GEN</x:v>
      </x:c>
      <x:c r="C156" s="20" t="str">
        <x:v>Seluruh Venue</x:v>
      </x:c>
      <x:c r="D156" s="20" t="str">
        <x:v>Documentation</x:v>
      </x:c>
      <x:c r="E156" s="20" t="str">
        <x:v>Rencana handover file akhir</x:v>
      </x:c>
      <x:c r="F156" s="20" t="str">
        <x:v>Folder final, akses dan penanggung jawab ditetapkan.</x:v>
      </x:c>
      <x:c r="G156" s="20" t="str">
        <x:v>Shared</x:v>
      </x:c>
      <x:c r="H156" s="20" t="str">
        <x:v>Publikasi &amp; Dokumentasi</x:v>
      </x:c>
      <x:c r="I156" s="20" t="str">
        <x:v>Milna</x:v>
      </x:c>
      <x:c r="J156" s="20" t="str">
        <x:v>Medium</x:v>
      </x:c>
      <x:c r="K156" s="30" t="n">
        <x:v>46230</x:v>
      </x:c>
      <x:c r="L156" s="30" t="n">
        <x:v>46243</x:v>
      </x:c>
      <x:c r="M156" s="20" t="str">
        <x:v>Belum Dimulai</x:v>
      </x:c>
      <x:c r="N156" s="31" t="n">
        <x:v>0</x:v>
      </x:c>
      <x:c r="O156" s="20" t="str">
        <x:f>IF(M156="Selesai &amp; Terverifikasi","Ready",IF(M156="Terkendala","Not Ready",IF(AND(J156="Critical",L156&lt;=TODAY()+3,N156&lt;100),"At Risk","In Progress")))</x:f>
        <x:v>In Progress</x:v>
      </x:c>
      <x:c r="P156" s="20" t="str"/>
      <x:c r="Q156" s="20" t="str"/>
      <x:c r="R156" s="20" t="str"/>
      <x:c r="S156" s="20" t="str">
        <x:v>Initial Setup</x:v>
      </x:c>
      <x:c r="T156" s="32" t="n">
        <x:v>46229.833333333336</x:v>
      </x:c>
      <x:c r="U156" s="20" t="str"/>
      <x:c r="V156" s="20" t="str">
        <x:v>Belum Diverifikasi</x:v>
      </x:c>
      <x:c r="W156" s="20" t="str"/>
      <x:c r="X156" s="20" t="str"/>
      <x:c r="Y156" s="20" t="str">
        <x:v>Ya</x:v>
      </x:c>
      <x:c r="Z156" s="20" t="str">
        <x:v>Semua</x:v>
      </x:c>
      <x:c r="AA156" s="33" t="n">
        <x:f>IF(L156="","",L156-TODAY())</x:f>
        <x:v>14</x:v>
      </x:c>
      <x:c r="AB156" s="20" t="str">
        <x:f>IF(AND(L156&lt;&gt;"",L156&lt;TODAY(),M156&lt;&gt;"Selesai &amp; Terverifikasi",M156&lt;&gt;"Tidak Berlaku"),"OVERDUE","")</x:f>
      </x:c>
      <x:c r="AC156" s="20" t="n">
        <x:f>IF(J156="Critical",4,IF(J156="High",3,IF(J156="Medium",2,1)))</x:f>
        <x:v>2</x:v>
      </x:c>
      <x:c r="AD156" s="20" t="n">
        <x:f>N156*AC156</x:f>
        <x:v>0</x:v>
      </x:c>
    </x:row>
    <x:row r="157">
      <x:c r="A157" s="20" t="str">
        <x:v>TSK-156</x:v>
      </x:c>
      <x:c r="B157" s="20" t="str">
        <x:v>EVT-GEN</x:v>
      </x:c>
      <x:c r="C157" s="20" t="str">
        <x:v>Seluruh Venue</x:v>
      </x:c>
      <x:c r="D157" s="20" t="str">
        <x:v>Security &amp; HSE</x:v>
      </x:c>
      <x:c r="E157" s="20" t="str">
        <x:v>Finalisasi izin masuk perusahaan</x:v>
      </x:c>
      <x:c r="F157" s="20" t="str">
        <x:v>Daftar tamu, kendaraan dan vendor disetujui keamanan.</x:v>
      </x:c>
      <x:c r="G157" s="20" t="str">
        <x:v>PIM</x:v>
      </x:c>
      <x:c r="H157" s="20" t="str">
        <x:v>Upacara &amp; Keamanan</x:v>
      </x:c>
      <x:c r="I157" s="20" t="str">
        <x:v>Hasanuddin</x:v>
      </x:c>
      <x:c r="J157" s="20" t="str">
        <x:v>Critical</x:v>
      </x:c>
      <x:c r="K157" s="30" t="n">
        <x:v>46230</x:v>
      </x:c>
      <x:c r="L157" s="30" t="n">
        <x:v>46239</x:v>
      </x:c>
      <x:c r="M157" s="20" t="str">
        <x:v>Belum Dimulai</x:v>
      </x:c>
      <x:c r="N157" s="31" t="n">
        <x:v>0</x:v>
      </x:c>
      <x:c r="O157" s="20" t="str">
        <x:f>IF(M157="Selesai &amp; Terverifikasi","Ready",IF(M157="Terkendala","Not Ready",IF(AND(J157="Critical",L157&lt;=TODAY()+3,N157&lt;100),"At Risk","In Progress")))</x:f>
        <x:v>In Progress</x:v>
      </x:c>
      <x:c r="P157" s="20" t="str"/>
      <x:c r="Q157" s="20" t="str"/>
      <x:c r="R157" s="20" t="str"/>
      <x:c r="S157" s="20" t="str">
        <x:v>Initial Setup</x:v>
      </x:c>
      <x:c r="T157" s="32" t="n">
        <x:v>46229.833333333336</x:v>
      </x:c>
      <x:c r="U157" s="20" t="str"/>
      <x:c r="V157" s="20" t="str">
        <x:v>Belum Diverifikasi</x:v>
      </x:c>
      <x:c r="W157" s="20" t="str"/>
      <x:c r="X157" s="20" t="str"/>
      <x:c r="Y157" s="20" t="str">
        <x:v>Ya</x:v>
      </x:c>
      <x:c r="Z157" s="20" t="str">
        <x:v>Semua</x:v>
      </x:c>
      <x:c r="AA157" s="33" t="n">
        <x:f>IF(L157="","",L157-TODAY())</x:f>
        <x:v>10</x:v>
      </x:c>
      <x:c r="AB157" s="20" t="str">
        <x:f>IF(AND(L157&lt;&gt;"",L157&lt;TODAY(),M157&lt;&gt;"Selesai &amp; Terverifikasi",M157&lt;&gt;"Tidak Berlaku"),"OVERDUE","")</x:f>
      </x:c>
      <x:c r="AC157" s="20" t="n">
        <x:f>IF(J157="Critical",4,IF(J157="High",3,IF(J157="Medium",2,1)))</x:f>
        <x:v>4</x:v>
      </x:c>
      <x:c r="AD157" s="20" t="n">
        <x:f>N157*AC157</x:f>
        <x:v>0</x:v>
      </x:c>
    </x:row>
    <x:row r="158">
      <x:c r="A158" s="20" t="str">
        <x:v>TSK-157</x:v>
      </x:c>
      <x:c r="B158" s="20" t="str">
        <x:v>EVT-GEN</x:v>
      </x:c>
      <x:c r="C158" s="20" t="str">
        <x:v>Seluruh Venue</x:v>
      </x:c>
      <x:c r="D158" s="20" t="str">
        <x:v>Security &amp; HSE</x:v>
      </x:c>
      <x:c r="E158" s="20" t="str">
        <x:v>Finalisasi badge dan access level</x:v>
      </x:c>
      <x:c r="F158" s="20" t="str">
        <x:v>Badge tamu, panitia, vendor dan EO dibedakan.</x:v>
      </x:c>
      <x:c r="G158" s="20" t="str">
        <x:v>PIM</x:v>
      </x:c>
      <x:c r="H158" s="20" t="str">
        <x:v>Upacara &amp; Keamanan</x:v>
      </x:c>
      <x:c r="I158" s="20" t="str">
        <x:v>Hasanuddin</x:v>
      </x:c>
      <x:c r="J158" s="20" t="str">
        <x:v>Critical</x:v>
      </x:c>
      <x:c r="K158" s="30" t="n">
        <x:v>46230</x:v>
      </x:c>
      <x:c r="L158" s="30" t="n">
        <x:v>46240</x:v>
      </x:c>
      <x:c r="M158" s="20" t="str">
        <x:v>Belum Dimulai</x:v>
      </x:c>
      <x:c r="N158" s="31" t="n">
        <x:v>0</x:v>
      </x:c>
      <x:c r="O158" s="20" t="str">
        <x:f>IF(M158="Selesai &amp; Terverifikasi","Ready",IF(M158="Terkendala","Not Ready",IF(AND(J158="Critical",L158&lt;=TODAY()+3,N158&lt;100),"At Risk","In Progress")))</x:f>
        <x:v>In Progress</x:v>
      </x:c>
      <x:c r="P158" s="20" t="str"/>
      <x:c r="Q158" s="20" t="str"/>
      <x:c r="R158" s="20" t="str"/>
      <x:c r="S158" s="20" t="str">
        <x:v>Initial Setup</x:v>
      </x:c>
      <x:c r="T158" s="32" t="n">
        <x:v>46229.833333333336</x:v>
      </x:c>
      <x:c r="U158" s="20" t="str"/>
      <x:c r="V158" s="20" t="str">
        <x:v>Belum Diverifikasi</x:v>
      </x:c>
      <x:c r="W158" s="20" t="str"/>
      <x:c r="X158" s="20" t="str"/>
      <x:c r="Y158" s="20" t="str">
        <x:v>Ya</x:v>
      </x:c>
      <x:c r="Z158" s="20" t="str">
        <x:v>Semua</x:v>
      </x:c>
      <x:c r="AA158" s="33" t="n">
        <x:f>IF(L158="","",L158-TODAY())</x:f>
        <x:v>11</x:v>
      </x:c>
      <x:c r="AB158" s="20" t="str">
        <x:f>IF(AND(L158&lt;&gt;"",L158&lt;TODAY(),M158&lt;&gt;"Selesai &amp; Terverifikasi",M158&lt;&gt;"Tidak Berlaku"),"OVERDUE","")</x:f>
      </x:c>
      <x:c r="AC158" s="20" t="n">
        <x:f>IF(J158="Critical",4,IF(J158="High",3,IF(J158="Medium",2,1)))</x:f>
        <x:v>4</x:v>
      </x:c>
      <x:c r="AD158" s="20" t="n">
        <x:f>N158*AC158</x:f>
        <x:v>0</x:v>
      </x:c>
    </x:row>
    <x:row r="159">
      <x:c r="A159" s="20" t="str">
        <x:v>TSK-158</x:v>
      </x:c>
      <x:c r="B159" s="20" t="str">
        <x:v>EVT-GEN</x:v>
      </x:c>
      <x:c r="C159" s="20" t="str">
        <x:v>Seluruh Venue</x:v>
      </x:c>
      <x:c r="D159" s="20" t="str">
        <x:v>Security &amp; HSE</x:v>
      </x:c>
      <x:c r="E159" s="20" t="str">
        <x:v>Susun deployment keamanan per venue</x:v>
      </x:c>
      <x:c r="F159" s="20" t="str">
        <x:v>Pos, shift, personel dan jalur komunikasi ditetapkan.</x:v>
      </x:c>
      <x:c r="G159" s="20" t="str">
        <x:v>PIM</x:v>
      </x:c>
      <x:c r="H159" s="20" t="str">
        <x:v>Upacara &amp; Keamanan</x:v>
      </x:c>
      <x:c r="I159" s="20" t="str">
        <x:v>Hasanuddin</x:v>
      </x:c>
      <x:c r="J159" s="20" t="str">
        <x:v>Critical</x:v>
      </x:c>
      <x:c r="K159" s="30" t="n">
        <x:v>46230</x:v>
      </x:c>
      <x:c r="L159" s="30" t="n">
        <x:v>46240</x:v>
      </x:c>
      <x:c r="M159" s="20" t="str">
        <x:v>Belum Dimulai</x:v>
      </x:c>
      <x:c r="N159" s="31" t="n">
        <x:v>0</x:v>
      </x:c>
      <x:c r="O159" s="20" t="str">
        <x:f>IF(M159="Selesai &amp; Terverifikasi","Ready",IF(M159="Terkendala","Not Ready",IF(AND(J159="Critical",L159&lt;=TODAY()+3,N159&lt;100),"At Risk","In Progress")))</x:f>
        <x:v>In Progress</x:v>
      </x:c>
      <x:c r="P159" s="20" t="str"/>
      <x:c r="Q159" s="20" t="str"/>
      <x:c r="R159" s="20" t="str"/>
      <x:c r="S159" s="20" t="str">
        <x:v>Initial Setup</x:v>
      </x:c>
      <x:c r="T159" s="32" t="n">
        <x:v>46229.833333333336</x:v>
      </x:c>
      <x:c r="U159" s="20" t="str"/>
      <x:c r="V159" s="20" t="str">
        <x:v>Belum Diverifikasi</x:v>
      </x:c>
      <x:c r="W159" s="20" t="str"/>
      <x:c r="X159" s="20" t="str"/>
      <x:c r="Y159" s="20" t="str">
        <x:v>Ya</x:v>
      </x:c>
      <x:c r="Z159" s="20" t="str">
        <x:v>Semua</x:v>
      </x:c>
      <x:c r="AA159" s="33" t="n">
        <x:f>IF(L159="","",L159-TODAY())</x:f>
        <x:v>11</x:v>
      </x:c>
      <x:c r="AB159" s="20" t="str">
        <x:f>IF(AND(L159&lt;&gt;"",L159&lt;TODAY(),M159&lt;&gt;"Selesai &amp; Terverifikasi",M159&lt;&gt;"Tidak Berlaku"),"OVERDUE","")</x:f>
      </x:c>
      <x:c r="AC159" s="20" t="n">
        <x:f>IF(J159="Critical",4,IF(J159="High",3,IF(J159="Medium",2,1)))</x:f>
        <x:v>4</x:v>
      </x:c>
      <x:c r="AD159" s="20" t="n">
        <x:f>N159*AC159</x:f>
        <x:v>0</x:v>
      </x:c>
    </x:row>
    <x:row r="160">
      <x:c r="A160" s="20" t="str">
        <x:v>TSK-159</x:v>
      </x:c>
      <x:c r="B160" s="20" t="str">
        <x:v>EVT-GEN</x:v>
      </x:c>
      <x:c r="C160" s="20" t="str">
        <x:v>Seluruh Venue</x:v>
      </x:c>
      <x:c r="D160" s="20" t="str">
        <x:v>Security &amp; HSE</x:v>
      </x:c>
      <x:c r="E160" s="20" t="str">
        <x:v>Susun traffic dan parking plan</x:v>
      </x:c>
      <x:c r="F160" s="20" t="str">
        <x:v>Drop-off VIP, bus, kendaraan panitia dan emergency route jelas.</x:v>
      </x:c>
      <x:c r="G160" s="20" t="str">
        <x:v>PIM</x:v>
      </x:c>
      <x:c r="H160" s="20" t="str">
        <x:v>Upacara &amp; Keamanan</x:v>
      </x:c>
      <x:c r="I160" s="20" t="str">
        <x:v>Hasanuddin</x:v>
      </x:c>
      <x:c r="J160" s="20" t="str">
        <x:v>Critical</x:v>
      </x:c>
      <x:c r="K160" s="30" t="n">
        <x:v>46230</x:v>
      </x:c>
      <x:c r="L160" s="30" t="n">
        <x:v>46240</x:v>
      </x:c>
      <x:c r="M160" s="20" t="str">
        <x:v>Belum Dimulai</x:v>
      </x:c>
      <x:c r="N160" s="31" t="n">
        <x:v>0</x:v>
      </x:c>
      <x:c r="O160" s="20" t="str">
        <x:f>IF(M160="Selesai &amp; Terverifikasi","Ready",IF(M160="Terkendala","Not Ready",IF(AND(J160="Critical",L160&lt;=TODAY()+3,N160&lt;100),"At Risk","In Progress")))</x:f>
        <x:v>In Progress</x:v>
      </x:c>
      <x:c r="P160" s="20" t="str"/>
      <x:c r="Q160" s="20" t="str"/>
      <x:c r="R160" s="20" t="str"/>
      <x:c r="S160" s="20" t="str">
        <x:v>Initial Setup</x:v>
      </x:c>
      <x:c r="T160" s="32" t="n">
        <x:v>46229.833333333336</x:v>
      </x:c>
      <x:c r="U160" s="20" t="str"/>
      <x:c r="V160" s="20" t="str">
        <x:v>Belum Diverifikasi</x:v>
      </x:c>
      <x:c r="W160" s="20" t="str"/>
      <x:c r="X160" s="20" t="str"/>
      <x:c r="Y160" s="20" t="str">
        <x:v>Ya</x:v>
      </x:c>
      <x:c r="Z160" s="20" t="str">
        <x:v>Semua</x:v>
      </x:c>
      <x:c r="AA160" s="33" t="n">
        <x:f>IF(L160="","",L160-TODAY())</x:f>
        <x:v>11</x:v>
      </x:c>
      <x:c r="AB160" s="20" t="str">
        <x:f>IF(AND(L160&lt;&gt;"",L160&lt;TODAY(),M160&lt;&gt;"Selesai &amp; Terverifikasi",M160&lt;&gt;"Tidak Berlaku"),"OVERDUE","")</x:f>
      </x:c>
      <x:c r="AC160" s="20" t="n">
        <x:f>IF(J160="Critical",4,IF(J160="High",3,IF(J160="Medium",2,1)))</x:f>
        <x:v>4</x:v>
      </x:c>
      <x:c r="AD160" s="20" t="n">
        <x:f>N160*AC160</x:f>
        <x:v>0</x:v>
      </x:c>
    </x:row>
    <x:row r="161">
      <x:c r="A161" s="20" t="str">
        <x:v>TSK-160</x:v>
      </x:c>
      <x:c r="B161" s="20" t="str">
        <x:v>EVT-GEN</x:v>
      </x:c>
      <x:c r="C161" s="20" t="str">
        <x:v>Seluruh Venue</x:v>
      </x:c>
      <x:c r="D161" s="20" t="str">
        <x:v>Security &amp; HSE</x:v>
      </x:c>
      <x:c r="E161" s="20" t="str">
        <x:v>Pastikan emergency access</x:v>
      </x:c>
      <x:c r="F161" s="20" t="str">
        <x:v>Ambulans, pemadam dan jalur evakuasi tidak terhalang.</x:v>
      </x:c>
      <x:c r="G161" s="20" t="str">
        <x:v>PIM</x:v>
      </x:c>
      <x:c r="H161" s="20" t="str">
        <x:v>Upacara &amp; Keamanan</x:v>
      </x:c>
      <x:c r="I161" s="20" t="str">
        <x:v>Hasanuddin</x:v>
      </x:c>
      <x:c r="J161" s="20" t="str">
        <x:v>Critical</x:v>
      </x:c>
      <x:c r="K161" s="30" t="n">
        <x:v>46230</x:v>
      </x:c>
      <x:c r="L161" s="30" t="n">
        <x:v>46242</x:v>
      </x:c>
      <x:c r="M161" s="20" t="str">
        <x:v>Belum Dimulai</x:v>
      </x:c>
      <x:c r="N161" s="31" t="n">
        <x:v>0</x:v>
      </x:c>
      <x:c r="O161" s="20" t="str">
        <x:f>IF(M161="Selesai &amp; Terverifikasi","Ready",IF(M161="Terkendala","Not Ready",IF(AND(J161="Critical",L161&lt;=TODAY()+3,N161&lt;100),"At Risk","In Progress")))</x:f>
        <x:v>In Progress</x:v>
      </x:c>
      <x:c r="P161" s="20" t="str"/>
      <x:c r="Q161" s="20" t="str"/>
      <x:c r="R161" s="20" t="str"/>
      <x:c r="S161" s="20" t="str">
        <x:v>Initial Setup</x:v>
      </x:c>
      <x:c r="T161" s="32" t="n">
        <x:v>46229.833333333336</x:v>
      </x:c>
      <x:c r="U161" s="20" t="str"/>
      <x:c r="V161" s="20" t="str">
        <x:v>Belum Diverifikasi</x:v>
      </x:c>
      <x:c r="W161" s="20" t="str"/>
      <x:c r="X161" s="20" t="str"/>
      <x:c r="Y161" s="20" t="str">
        <x:v>Ya</x:v>
      </x:c>
      <x:c r="Z161" s="20" t="str">
        <x:v>Semua</x:v>
      </x:c>
      <x:c r="AA161" s="33" t="n">
        <x:f>IF(L161="","",L161-TODAY())</x:f>
        <x:v>13</x:v>
      </x:c>
      <x:c r="AB161" s="20" t="str">
        <x:f>IF(AND(L161&lt;&gt;"",L161&lt;TODAY(),M161&lt;&gt;"Selesai &amp; Terverifikasi",M161&lt;&gt;"Tidak Berlaku"),"OVERDUE","")</x:f>
      </x:c>
      <x:c r="AC161" s="20" t="n">
        <x:f>IF(J161="Critical",4,IF(J161="High",3,IF(J161="Medium",2,1)))</x:f>
        <x:v>4</x:v>
      </x:c>
      <x:c r="AD161" s="20" t="n">
        <x:f>N161*AC161</x:f>
        <x:v>0</x:v>
      </x:c>
    </x:row>
    <x:row r="162">
      <x:c r="A162" s="20" t="str">
        <x:v>TSK-161</x:v>
      </x:c>
      <x:c r="B162" s="20" t="str">
        <x:v>EVT-GEN</x:v>
      </x:c>
      <x:c r="C162" s="20" t="str">
        <x:v>Seluruh Venue</x:v>
      </x:c>
      <x:c r="D162" s="20" t="str">
        <x:v>Security &amp; HSE</x:v>
      </x:c>
      <x:c r="E162" s="20" t="str">
        <x:v>Siapkan APAR dan fire watch</x:v>
      </x:c>
      <x:c r="F162" s="20" t="str">
        <x:v>Jumlah, lokasi, inspeksi dan personel siap.</x:v>
      </x:c>
      <x:c r="G162" s="20" t="str">
        <x:v>PIM</x:v>
      </x:c>
      <x:c r="H162" s="20" t="str">
        <x:v>Upacara &amp; Keamanan</x:v>
      </x:c>
      <x:c r="I162" s="20" t="str">
        <x:v>Hasanuddin</x:v>
      </x:c>
      <x:c r="J162" s="20" t="str">
        <x:v>Critical</x:v>
      </x:c>
      <x:c r="K162" s="30" t="n">
        <x:v>46230</x:v>
      </x:c>
      <x:c r="L162" s="30" t="n">
        <x:v>46242</x:v>
      </x:c>
      <x:c r="M162" s="20" t="str">
        <x:v>Belum Dimulai</x:v>
      </x:c>
      <x:c r="N162" s="31" t="n">
        <x:v>0</x:v>
      </x:c>
      <x:c r="O162" s="20" t="str">
        <x:f>IF(M162="Selesai &amp; Terverifikasi","Ready",IF(M162="Terkendala","Not Ready",IF(AND(J162="Critical",L162&lt;=TODAY()+3,N162&lt;100),"At Risk","In Progress")))</x:f>
        <x:v>In Progress</x:v>
      </x:c>
      <x:c r="P162" s="20" t="str"/>
      <x:c r="Q162" s="20" t="str"/>
      <x:c r="R162" s="20" t="str"/>
      <x:c r="S162" s="20" t="str">
        <x:v>Initial Setup</x:v>
      </x:c>
      <x:c r="T162" s="32" t="n">
        <x:v>46229.833333333336</x:v>
      </x:c>
      <x:c r="U162" s="20" t="str"/>
      <x:c r="V162" s="20" t="str">
        <x:v>Belum Diverifikasi</x:v>
      </x:c>
      <x:c r="W162" s="20" t="str"/>
      <x:c r="X162" s="20" t="str"/>
      <x:c r="Y162" s="20" t="str">
        <x:v>Ya</x:v>
      </x:c>
      <x:c r="Z162" s="20" t="str">
        <x:v>Semua</x:v>
      </x:c>
      <x:c r="AA162" s="33" t="n">
        <x:f>IF(L162="","",L162-TODAY())</x:f>
        <x:v>13</x:v>
      </x:c>
      <x:c r="AB162" s="20" t="str">
        <x:f>IF(AND(L162&lt;&gt;"",L162&lt;TODAY(),M162&lt;&gt;"Selesai &amp; Terverifikasi",M162&lt;&gt;"Tidak Berlaku"),"OVERDUE","")</x:f>
      </x:c>
      <x:c r="AC162" s="20" t="n">
        <x:f>IF(J162="Critical",4,IF(J162="High",3,IF(J162="Medium",2,1)))</x:f>
        <x:v>4</x:v>
      </x:c>
      <x:c r="AD162" s="20" t="n">
        <x:f>N162*AC162</x:f>
        <x:v>0</x:v>
      </x:c>
    </x:row>
    <x:row r="163">
      <x:c r="A163" s="20" t="str">
        <x:v>TSK-162</x:v>
      </x:c>
      <x:c r="B163" s="20" t="str">
        <x:v>EVT-GEN</x:v>
      </x:c>
      <x:c r="C163" s="20" t="str">
        <x:v>Seluruh Venue</x:v>
      </x:c>
      <x:c r="D163" s="20" t="str">
        <x:v>Security &amp; HSE</x:v>
      </x:c>
      <x:c r="E163" s="20" t="str">
        <x:v>Siapkan evacuation map dan muster point</x:v>
      </x:c>
      <x:c r="F163" s="20" t="str">
        <x:v>Peta, signage dan briefing tersedia di semua venue.</x:v>
      </x:c>
      <x:c r="G163" s="20" t="str">
        <x:v>PIM</x:v>
      </x:c>
      <x:c r="H163" s="20" t="str">
        <x:v>Upacara &amp; Keamanan</x:v>
      </x:c>
      <x:c r="I163" s="20" t="str">
        <x:v>Hasanuddin</x:v>
      </x:c>
      <x:c r="J163" s="20" t="str">
        <x:v>Critical</x:v>
      </x:c>
      <x:c r="K163" s="30" t="n">
        <x:v>46230</x:v>
      </x:c>
      <x:c r="L163" s="30" t="n">
        <x:v>46242</x:v>
      </x:c>
      <x:c r="M163" s="20" t="str">
        <x:v>Belum Dimulai</x:v>
      </x:c>
      <x:c r="N163" s="31" t="n">
        <x:v>0</x:v>
      </x:c>
      <x:c r="O163" s="20" t="str">
        <x:f>IF(M163="Selesai &amp; Terverifikasi","Ready",IF(M163="Terkendala","Not Ready",IF(AND(J163="Critical",L163&lt;=TODAY()+3,N163&lt;100),"At Risk","In Progress")))</x:f>
        <x:v>In Progress</x:v>
      </x:c>
      <x:c r="P163" s="20" t="str"/>
      <x:c r="Q163" s="20" t="str"/>
      <x:c r="R163" s="20" t="str"/>
      <x:c r="S163" s="20" t="str">
        <x:v>Initial Setup</x:v>
      </x:c>
      <x:c r="T163" s="32" t="n">
        <x:v>46229.833333333336</x:v>
      </x:c>
      <x:c r="U163" s="20" t="str"/>
      <x:c r="V163" s="20" t="str">
        <x:v>Belum Diverifikasi</x:v>
      </x:c>
      <x:c r="W163" s="20" t="str"/>
      <x:c r="X163" s="20" t="str"/>
      <x:c r="Y163" s="20" t="str">
        <x:v>Ya</x:v>
      </x:c>
      <x:c r="Z163" s="20" t="str">
        <x:v>Semua</x:v>
      </x:c>
      <x:c r="AA163" s="33" t="n">
        <x:f>IF(L163="","",L163-TODAY())</x:f>
        <x:v>13</x:v>
      </x:c>
      <x:c r="AB163" s="20" t="str">
        <x:f>IF(AND(L163&lt;&gt;"",L163&lt;TODAY(),M163&lt;&gt;"Selesai &amp; Terverifikasi",M163&lt;&gt;"Tidak Berlaku"),"OVERDUE","")</x:f>
      </x:c>
      <x:c r="AC163" s="20" t="n">
        <x:f>IF(J163="Critical",4,IF(J163="High",3,IF(J163="Medium",2,1)))</x:f>
        <x:v>4</x:v>
      </x:c>
      <x:c r="AD163" s="20" t="n">
        <x:f>N163*AC163</x:f>
        <x:v>0</x:v>
      </x:c>
    </x:row>
    <x:row r="164">
      <x:c r="A164" s="20" t="str">
        <x:v>TSK-163</x:v>
      </x:c>
      <x:c r="B164" s="20" t="str">
        <x:v>EVT-GEN</x:v>
      </x:c>
      <x:c r="C164" s="20" t="str">
        <x:v>Seluruh Venue</x:v>
      </x:c>
      <x:c r="D164" s="20" t="str">
        <x:v>Security &amp; HSE</x:v>
      </x:c>
      <x:c r="E164" s="20" t="str">
        <x:v>Lakukan security briefing</x:v>
      </x:c>
      <x:c r="F164" s="20" t="str">
        <x:v>Security, panitia, EO dan LO memahami SOP.</x:v>
      </x:c>
      <x:c r="G164" s="20" t="str">
        <x:v>PIM</x:v>
      </x:c>
      <x:c r="H164" s="20" t="str">
        <x:v>Upacara &amp; Keamanan</x:v>
      </x:c>
      <x:c r="I164" s="20" t="str">
        <x:v>Hasanuddin</x:v>
      </x:c>
      <x:c r="J164" s="20" t="str">
        <x:v>High</x:v>
      </x:c>
      <x:c r="K164" s="30" t="n">
        <x:v>46230</x:v>
      </x:c>
      <x:c r="L164" s="30" t="n">
        <x:v>46243</x:v>
      </x:c>
      <x:c r="M164" s="20" t="str">
        <x:v>Belum Dimulai</x:v>
      </x:c>
      <x:c r="N164" s="31" t="n">
        <x:v>0</x:v>
      </x:c>
      <x:c r="O164" s="20" t="str">
        <x:f>IF(M164="Selesai &amp; Terverifikasi","Ready",IF(M164="Terkendala","Not Ready",IF(AND(J164="Critical",L164&lt;=TODAY()+3,N164&lt;100),"At Risk","In Progress")))</x:f>
        <x:v>In Progress</x:v>
      </x:c>
      <x:c r="P164" s="20" t="str"/>
      <x:c r="Q164" s="20" t="str"/>
      <x:c r="R164" s="20" t="str"/>
      <x:c r="S164" s="20" t="str">
        <x:v>Initial Setup</x:v>
      </x:c>
      <x:c r="T164" s="32" t="n">
        <x:v>46229.833333333336</x:v>
      </x:c>
      <x:c r="U164" s="20" t="str"/>
      <x:c r="V164" s="20" t="str">
        <x:v>Belum Diverifikasi</x:v>
      </x:c>
      <x:c r="W164" s="20" t="str"/>
      <x:c r="X164" s="20" t="str"/>
      <x:c r="Y164" s="20" t="str">
        <x:v>Ya</x:v>
      </x:c>
      <x:c r="Z164" s="20" t="str">
        <x:v>Semua</x:v>
      </x:c>
      <x:c r="AA164" s="33" t="n">
        <x:f>IF(L164="","",L164-TODAY())</x:f>
        <x:v>14</x:v>
      </x:c>
      <x:c r="AB164" s="20" t="str">
        <x:f>IF(AND(L164&lt;&gt;"",L164&lt;TODAY(),M164&lt;&gt;"Selesai &amp; Terverifikasi",M164&lt;&gt;"Tidak Berlaku"),"OVERDUE","")</x:f>
      </x:c>
      <x:c r="AC164" s="20" t="n">
        <x:f>IF(J164="Critical",4,IF(J164="High",3,IF(J164="Medium",2,1)))</x:f>
        <x:v>3</x:v>
      </x:c>
      <x:c r="AD164" s="20" t="n">
        <x:f>N164*AC164</x:f>
        <x:v>0</x:v>
      </x:c>
    </x:row>
    <x:row r="165">
      <x:c r="A165" s="20" t="str">
        <x:v>TSK-164</x:v>
      </x:c>
      <x:c r="B165" s="20" t="str">
        <x:v>EVT-GEN</x:v>
      </x:c>
      <x:c r="C165" s="20" t="str">
        <x:v>Seluruh Venue</x:v>
      </x:c>
      <x:c r="D165" s="20" t="str">
        <x:v>Security &amp; HSE</x:v>
      </x:c>
      <x:c r="E165" s="20" t="str">
        <x:v>Siapkan contingency cuaca</x:v>
      </x:c>
      <x:c r="F165" s="20" t="str">
        <x:v>Keputusan, shelter, drainase dan perubahan alur tersedia.</x:v>
      </x:c>
      <x:c r="G165" s="20" t="str">
        <x:v>PIM</x:v>
      </x:c>
      <x:c r="H165" s="20" t="str">
        <x:v>Upacara &amp; Keamanan</x:v>
      </x:c>
      <x:c r="I165" s="20" t="str">
        <x:v>Hasanuddin</x:v>
      </x:c>
      <x:c r="J165" s="20" t="str">
        <x:v>Critical</x:v>
      </x:c>
      <x:c r="K165" s="30" t="n">
        <x:v>46230</x:v>
      </x:c>
      <x:c r="L165" s="30" t="n">
        <x:v>46241</x:v>
      </x:c>
      <x:c r="M165" s="20" t="str">
        <x:v>Belum Dimulai</x:v>
      </x:c>
      <x:c r="N165" s="31" t="n">
        <x:v>0</x:v>
      </x:c>
      <x:c r="O165" s="20" t="str">
        <x:f>IF(M165="Selesai &amp; Terverifikasi","Ready",IF(M165="Terkendala","Not Ready",IF(AND(J165="Critical",L165&lt;=TODAY()+3,N165&lt;100),"At Risk","In Progress")))</x:f>
        <x:v>In Progress</x:v>
      </x:c>
      <x:c r="P165" s="20" t="str"/>
      <x:c r="Q165" s="20" t="str"/>
      <x:c r="R165" s="20" t="str"/>
      <x:c r="S165" s="20" t="str">
        <x:v>Initial Setup</x:v>
      </x:c>
      <x:c r="T165" s="32" t="n">
        <x:v>46229.833333333336</x:v>
      </x:c>
      <x:c r="U165" s="20" t="str"/>
      <x:c r="V165" s="20" t="str">
        <x:v>Belum Diverifikasi</x:v>
      </x:c>
      <x:c r="W165" s="20" t="str"/>
      <x:c r="X165" s="20" t="str"/>
      <x:c r="Y165" s="20" t="str">
        <x:v>Ya</x:v>
      </x:c>
      <x:c r="Z165" s="20" t="str">
        <x:v>Semua</x:v>
      </x:c>
      <x:c r="AA165" s="33" t="n">
        <x:f>IF(L165="","",L165-TODAY())</x:f>
        <x:v>12</x:v>
      </x:c>
      <x:c r="AB165" s="20" t="str">
        <x:f>IF(AND(L165&lt;&gt;"",L165&lt;TODAY(),M165&lt;&gt;"Selesai &amp; Terverifikasi",M165&lt;&gt;"Tidak Berlaku"),"OVERDUE","")</x:f>
      </x:c>
      <x:c r="AC165" s="20" t="n">
        <x:f>IF(J165="Critical",4,IF(J165="High",3,IF(J165="Medium",2,1)))</x:f>
        <x:v>4</x:v>
      </x:c>
      <x:c r="AD165" s="20" t="n">
        <x:f>N165*AC165</x:f>
        <x:v>0</x:v>
      </x:c>
    </x:row>
    <x:row r="166">
      <x:c r="A166" s="20" t="str">
        <x:v>TSK-165</x:v>
      </x:c>
      <x:c r="B166" s="20" t="str">
        <x:v>EVT-GEN</x:v>
      </x:c>
      <x:c r="C166" s="20" t="str">
        <x:v>Seluruh Venue</x:v>
      </x:c>
      <x:c r="D166" s="20" t="str">
        <x:v>Medical</x:v>
      </x:c>
      <x:c r="E166" s="20" t="str">
        <x:v>Tetapkan medical post dan petugas</x:v>
      </x:c>
      <x:c r="F166" s="20" t="str">
        <x:v>Lokasi, jadwal dan petugas medis tersedia.</x:v>
      </x:c>
      <x:c r="G166" s="20" t="str">
        <x:v>PIM</x:v>
      </x:c>
      <x:c r="H166" s="20" t="str">
        <x:v>Kesehatan</x:v>
      </x:c>
      <x:c r="I166" s="20" t="str"/>
      <x:c r="J166" s="20" t="str">
        <x:v>Critical</x:v>
      </x:c>
      <x:c r="K166" s="30" t="n">
        <x:v>46230</x:v>
      </x:c>
      <x:c r="L166" s="30" t="n">
        <x:v>46240</x:v>
      </x:c>
      <x:c r="M166" s="20" t="str">
        <x:v>Belum Dimulai</x:v>
      </x:c>
      <x:c r="N166" s="31" t="n">
        <x:v>0</x:v>
      </x:c>
      <x:c r="O166" s="20" t="str">
        <x:f>IF(M166="Selesai &amp; Terverifikasi","Ready",IF(M166="Terkendala","Not Ready",IF(AND(J166="Critical",L166&lt;=TODAY()+3,N166&lt;100),"At Risk","In Progress")))</x:f>
        <x:v>In Progress</x:v>
      </x:c>
      <x:c r="P166" s="20" t="str"/>
      <x:c r="Q166" s="20" t="str"/>
      <x:c r="R166" s="20" t="str"/>
      <x:c r="S166" s="20" t="str">
        <x:v>Initial Setup</x:v>
      </x:c>
      <x:c r="T166" s="32" t="n">
        <x:v>46229.833333333336</x:v>
      </x:c>
      <x:c r="U166" s="20" t="str"/>
      <x:c r="V166" s="20" t="str">
        <x:v>Belum Diverifikasi</x:v>
      </x:c>
      <x:c r="W166" s="20" t="str"/>
      <x:c r="X166" s="20" t="str"/>
      <x:c r="Y166" s="20" t="str">
        <x:v>Ya</x:v>
      </x:c>
      <x:c r="Z166" s="20" t="str">
        <x:v>Semua</x:v>
      </x:c>
      <x:c r="AA166" s="33" t="n">
        <x:f>IF(L166="","",L166-TODAY())</x:f>
        <x:v>11</x:v>
      </x:c>
      <x:c r="AB166" s="20" t="str">
        <x:f>IF(AND(L166&lt;&gt;"",L166&lt;TODAY(),M166&lt;&gt;"Selesai &amp; Terverifikasi",M166&lt;&gt;"Tidak Berlaku"),"OVERDUE","")</x:f>
      </x:c>
      <x:c r="AC166" s="20" t="n">
        <x:f>IF(J166="Critical",4,IF(J166="High",3,IF(J166="Medium",2,1)))</x:f>
        <x:v>4</x:v>
      </x:c>
      <x:c r="AD166" s="20" t="n">
        <x:f>N166*AC166</x:f>
        <x:v>0</x:v>
      </x:c>
    </x:row>
    <x:row r="167">
      <x:c r="A167" s="20" t="str">
        <x:v>TSK-166</x:v>
      </x:c>
      <x:c r="B167" s="20" t="str">
        <x:v>EVT-GEN</x:v>
      </x:c>
      <x:c r="C167" s="20" t="str">
        <x:v>Seluruh Venue</x:v>
      </x:c>
      <x:c r="D167" s="20" t="str">
        <x:v>Medical</x:v>
      </x:c>
      <x:c r="E167" s="20" t="str">
        <x:v>Siapkan ambulans dan driver</x:v>
      </x:c>
      <x:c r="F167" s="20" t="str">
        <x:v>Ambulans standby dan jalur rujukan diuji.</x:v>
      </x:c>
      <x:c r="G167" s="20" t="str">
        <x:v>PIM</x:v>
      </x:c>
      <x:c r="H167" s="20" t="str">
        <x:v>Kesehatan</x:v>
      </x:c>
      <x:c r="I167" s="20" t="str"/>
      <x:c r="J167" s="20" t="str">
        <x:v>Critical</x:v>
      </x:c>
      <x:c r="K167" s="30" t="n">
        <x:v>46230</x:v>
      </x:c>
      <x:c r="L167" s="30" t="n">
        <x:v>46242</x:v>
      </x:c>
      <x:c r="M167" s="20" t="str">
        <x:v>Belum Dimulai</x:v>
      </x:c>
      <x:c r="N167" s="31" t="n">
        <x:v>0</x:v>
      </x:c>
      <x:c r="O167" s="20" t="str">
        <x:f>IF(M167="Selesai &amp; Terverifikasi","Ready",IF(M167="Terkendala","Not Ready",IF(AND(J167="Critical",L167&lt;=TODAY()+3,N167&lt;100),"At Risk","In Progress")))</x:f>
        <x:v>In Progress</x:v>
      </x:c>
      <x:c r="P167" s="20" t="str"/>
      <x:c r="Q167" s="20" t="str"/>
      <x:c r="R167" s="20" t="str"/>
      <x:c r="S167" s="20" t="str">
        <x:v>Initial Setup</x:v>
      </x:c>
      <x:c r="T167" s="32" t="n">
        <x:v>46229.833333333336</x:v>
      </x:c>
      <x:c r="U167" s="20" t="str"/>
      <x:c r="V167" s="20" t="str">
        <x:v>Belum Diverifikasi</x:v>
      </x:c>
      <x:c r="W167" s="20" t="str"/>
      <x:c r="X167" s="20" t="str"/>
      <x:c r="Y167" s="20" t="str">
        <x:v>Ya</x:v>
      </x:c>
      <x:c r="Z167" s="20" t="str">
        <x:v>Semua</x:v>
      </x:c>
      <x:c r="AA167" s="33" t="n">
        <x:f>IF(L167="","",L167-TODAY())</x:f>
        <x:v>13</x:v>
      </x:c>
      <x:c r="AB167" s="20" t="str">
        <x:f>IF(AND(L167&lt;&gt;"",L167&lt;TODAY(),M167&lt;&gt;"Selesai &amp; Terverifikasi",M167&lt;&gt;"Tidak Berlaku"),"OVERDUE","")</x:f>
      </x:c>
      <x:c r="AC167" s="20" t="n">
        <x:f>IF(J167="Critical",4,IF(J167="High",3,IF(J167="Medium",2,1)))</x:f>
        <x:v>4</x:v>
      </x:c>
      <x:c r="AD167" s="20" t="n">
        <x:f>N167*AC167</x:f>
        <x:v>0</x:v>
      </x:c>
    </x:row>
    <x:row r="168">
      <x:c r="A168" s="20" t="str">
        <x:v>TSK-167</x:v>
      </x:c>
      <x:c r="B168" s="20" t="str">
        <x:v>EVT-GEN</x:v>
      </x:c>
      <x:c r="C168" s="20" t="str">
        <x:v>Seluruh Venue</x:v>
      </x:c>
      <x:c r="D168" s="20" t="str">
        <x:v>Medical</x:v>
      </x:c>
      <x:c r="E168" s="20" t="str">
        <x:v>Siapkan first aid kit per venue</x:v>
      </x:c>
      <x:c r="F168" s="20" t="str">
        <x:v>Isi kit lengkap dan PIC ditetapkan.</x:v>
      </x:c>
      <x:c r="G168" s="20" t="str">
        <x:v>PIM</x:v>
      </x:c>
      <x:c r="H168" s="20" t="str">
        <x:v>Kesehatan</x:v>
      </x:c>
      <x:c r="I168" s="20" t="str"/>
      <x:c r="J168" s="20" t="str">
        <x:v>High</x:v>
      </x:c>
      <x:c r="K168" s="30" t="n">
        <x:v>46230</x:v>
      </x:c>
      <x:c r="L168" s="30" t="n">
        <x:v>46242</x:v>
      </x:c>
      <x:c r="M168" s="20" t="str">
        <x:v>Belum Dimulai</x:v>
      </x:c>
      <x:c r="N168" s="31" t="n">
        <x:v>0</x:v>
      </x:c>
      <x:c r="O168" s="20" t="str">
        <x:f>IF(M168="Selesai &amp; Terverifikasi","Ready",IF(M168="Terkendala","Not Ready",IF(AND(J168="Critical",L168&lt;=TODAY()+3,N168&lt;100),"At Risk","In Progress")))</x:f>
        <x:v>In Progress</x:v>
      </x:c>
      <x:c r="P168" s="20" t="str"/>
      <x:c r="Q168" s="20" t="str"/>
      <x:c r="R168" s="20" t="str"/>
      <x:c r="S168" s="20" t="str">
        <x:v>Initial Setup</x:v>
      </x:c>
      <x:c r="T168" s="32" t="n">
        <x:v>46229.833333333336</x:v>
      </x:c>
      <x:c r="U168" s="20" t="str"/>
      <x:c r="V168" s="20" t="str">
        <x:v>Belum Diverifikasi</x:v>
      </x:c>
      <x:c r="W168" s="20" t="str"/>
      <x:c r="X168" s="20" t="str"/>
      <x:c r="Y168" s="20" t="str">
        <x:v>Ya</x:v>
      </x:c>
      <x:c r="Z168" s="20" t="str">
        <x:v>Semua</x:v>
      </x:c>
      <x:c r="AA168" s="33" t="n">
        <x:f>IF(L168="","",L168-TODAY())</x:f>
        <x:v>13</x:v>
      </x:c>
      <x:c r="AB168" s="20" t="str">
        <x:f>IF(AND(L168&lt;&gt;"",L168&lt;TODAY(),M168&lt;&gt;"Selesai &amp; Terverifikasi",M168&lt;&gt;"Tidak Berlaku"),"OVERDUE","")</x:f>
      </x:c>
      <x:c r="AC168" s="20" t="n">
        <x:f>IF(J168="Critical",4,IF(J168="High",3,IF(J168="Medium",2,1)))</x:f>
        <x:v>3</x:v>
      </x:c>
      <x:c r="AD168" s="20" t="n">
        <x:f>N168*AC168</x:f>
        <x:v>0</x:v>
      </x:c>
    </x:row>
    <x:row r="169">
      <x:c r="A169" s="20" t="str">
        <x:v>TSK-168</x:v>
      </x:c>
      <x:c r="B169" s="20" t="str">
        <x:v>EVT-GEN</x:v>
      </x:c>
      <x:c r="C169" s="20" t="str">
        <x:v>Seluruh Venue</x:v>
      </x:c>
      <x:c r="D169" s="20" t="str">
        <x:v>Medical</x:v>
      </x:c>
      <x:c r="E169" s="20" t="str">
        <x:v>Konfirmasi rumah sakit rujukan</x:v>
      </x:c>
      <x:c r="F169" s="20" t="str">
        <x:v>Kontak, jalur, kapasitas dan prosedur tersedia.</x:v>
      </x:c>
      <x:c r="G169" s="20" t="str">
        <x:v>PIM</x:v>
      </x:c>
      <x:c r="H169" s="20" t="str">
        <x:v>Kesehatan</x:v>
      </x:c>
      <x:c r="I169" s="20" t="str"/>
      <x:c r="J169" s="20" t="str">
        <x:v>Critical</x:v>
      </x:c>
      <x:c r="K169" s="30" t="n">
        <x:v>46230</x:v>
      </x:c>
      <x:c r="L169" s="30" t="n">
        <x:v>46241</x:v>
      </x:c>
      <x:c r="M169" s="20" t="str">
        <x:v>Belum Dimulai</x:v>
      </x:c>
      <x:c r="N169" s="31" t="n">
        <x:v>0</x:v>
      </x:c>
      <x:c r="O169" s="20" t="str">
        <x:f>IF(M169="Selesai &amp; Terverifikasi","Ready",IF(M169="Terkendala","Not Ready",IF(AND(J169="Critical",L169&lt;=TODAY()+3,N169&lt;100),"At Risk","In Progress")))</x:f>
        <x:v>In Progress</x:v>
      </x:c>
      <x:c r="P169" s="20" t="str"/>
      <x:c r="Q169" s="20" t="str"/>
      <x:c r="R169" s="20" t="str"/>
      <x:c r="S169" s="20" t="str">
        <x:v>Initial Setup</x:v>
      </x:c>
      <x:c r="T169" s="32" t="n">
        <x:v>46229.833333333336</x:v>
      </x:c>
      <x:c r="U169" s="20" t="str"/>
      <x:c r="V169" s="20" t="str">
        <x:v>Belum Diverifikasi</x:v>
      </x:c>
      <x:c r="W169" s="20" t="str"/>
      <x:c r="X169" s="20" t="str"/>
      <x:c r="Y169" s="20" t="str">
        <x:v>Ya</x:v>
      </x:c>
      <x:c r="Z169" s="20" t="str">
        <x:v>Semua</x:v>
      </x:c>
      <x:c r="AA169" s="33" t="n">
        <x:f>IF(L169="","",L169-TODAY())</x:f>
        <x:v>12</x:v>
      </x:c>
      <x:c r="AB169" s="20" t="str">
        <x:f>IF(AND(L169&lt;&gt;"",L169&lt;TODAY(),M169&lt;&gt;"Selesai &amp; Terverifikasi",M169&lt;&gt;"Tidak Berlaku"),"OVERDUE","")</x:f>
      </x:c>
      <x:c r="AC169" s="20" t="n">
        <x:f>IF(J169="Critical",4,IF(J169="High",3,IF(J169="Medium",2,1)))</x:f>
        <x:v>4</x:v>
      </x:c>
      <x:c r="AD169" s="20" t="n">
        <x:f>N169*AC169</x:f>
        <x:v>0</x:v>
      </x:c>
    </x:row>
    <x:row r="170">
      <x:c r="A170" s="20" t="str">
        <x:v>TSK-169</x:v>
      </x:c>
      <x:c r="B170" s="20" t="str">
        <x:v>EVT-GEN</x:v>
      </x:c>
      <x:c r="C170" s="20" t="str">
        <x:v>Seluruh Venue</x:v>
      </x:c>
      <x:c r="D170" s="20" t="str">
        <x:v>Medical</x:v>
      </x:c>
      <x:c r="E170" s="20" t="str">
        <x:v>Siapkan medical response untuk pertandingan</x:v>
      </x:c>
      <x:c r="F170" s="20" t="str">
        <x:v>Cedera olahraga dan heat stress diantisipasi.</x:v>
      </x:c>
      <x:c r="G170" s="20" t="str">
        <x:v>PIM</x:v>
      </x:c>
      <x:c r="H170" s="20" t="str">
        <x:v>Kesehatan</x:v>
      </x:c>
      <x:c r="I170" s="20" t="str"/>
      <x:c r="J170" s="20" t="str">
        <x:v>Critical</x:v>
      </x:c>
      <x:c r="K170" s="30" t="n">
        <x:v>46230</x:v>
      </x:c>
      <x:c r="L170" s="30" t="n">
        <x:v>46242</x:v>
      </x:c>
      <x:c r="M170" s="20" t="str">
        <x:v>Belum Dimulai</x:v>
      </x:c>
      <x:c r="N170" s="31" t="n">
        <x:v>0</x:v>
      </x:c>
      <x:c r="O170" s="20" t="str">
        <x:f>IF(M170="Selesai &amp; Terverifikasi","Ready",IF(M170="Terkendala","Not Ready",IF(AND(J170="Critical",L170&lt;=TODAY()+3,N170&lt;100),"At Risk","In Progress")))</x:f>
        <x:v>In Progress</x:v>
      </x:c>
      <x:c r="P170" s="20" t="str"/>
      <x:c r="Q170" s="20" t="str"/>
      <x:c r="R170" s="20" t="str"/>
      <x:c r="S170" s="20" t="str">
        <x:v>Initial Setup</x:v>
      </x:c>
      <x:c r="T170" s="32" t="n">
        <x:v>46229.833333333336</x:v>
      </x:c>
      <x:c r="U170" s="20" t="str"/>
      <x:c r="V170" s="20" t="str">
        <x:v>Belum Diverifikasi</x:v>
      </x:c>
      <x:c r="W170" s="20" t="str"/>
      <x:c r="X170" s="20" t="str"/>
      <x:c r="Y170" s="20" t="str">
        <x:v>Ya</x:v>
      </x:c>
      <x:c r="Z170" s="20" t="str">
        <x:v>Semua</x:v>
      </x:c>
      <x:c r="AA170" s="33" t="n">
        <x:f>IF(L170="","",L170-TODAY())</x:f>
        <x:v>13</x:v>
      </x:c>
      <x:c r="AB170" s="20" t="str">
        <x:f>IF(AND(L170&lt;&gt;"",L170&lt;TODAY(),M170&lt;&gt;"Selesai &amp; Terverifikasi",M170&lt;&gt;"Tidak Berlaku"),"OVERDUE","")</x:f>
      </x:c>
      <x:c r="AC170" s="20" t="n">
        <x:f>IF(J170="Critical",4,IF(J170="High",3,IF(J170="Medium",2,1)))</x:f>
        <x:v>4</x:v>
      </x:c>
      <x:c r="AD170" s="20" t="n">
        <x:f>N170*AC170</x:f>
        <x:v>0</x:v>
      </x:c>
    </x:row>
    <x:row r="171">
      <x:c r="A171" s="20" t="str">
        <x:v>TSK-170</x:v>
      </x:c>
      <x:c r="B171" s="20" t="str">
        <x:v>EVT-GEN</x:v>
      </x:c>
      <x:c r="C171" s="20" t="str">
        <x:v>Seluruh Venue</x:v>
      </x:c>
      <x:c r="D171" s="20" t="str">
        <x:v>Medical</x:v>
      </x:c>
      <x:c r="E171" s="20" t="str">
        <x:v>Lakukan medical briefing</x:v>
      </x:c>
      <x:c r="F171" s="20" t="str">
        <x:v>LO, panitia dan keamanan memahami cara eskalasi.</x:v>
      </x:c>
      <x:c r="G171" s="20" t="str">
        <x:v>PIM</x:v>
      </x:c>
      <x:c r="H171" s="20" t="str">
        <x:v>Kesehatan</x:v>
      </x:c>
      <x:c r="I171" s="20" t="str"/>
      <x:c r="J171" s="20" t="str">
        <x:v>High</x:v>
      </x:c>
      <x:c r="K171" s="30" t="n">
        <x:v>46230</x:v>
      </x:c>
      <x:c r="L171" s="30" t="n">
        <x:v>46243</x:v>
      </x:c>
      <x:c r="M171" s="20" t="str">
        <x:v>Belum Dimulai</x:v>
      </x:c>
      <x:c r="N171" s="31" t="n">
        <x:v>0</x:v>
      </x:c>
      <x:c r="O171" s="20" t="str">
        <x:f>IF(M171="Selesai &amp; Terverifikasi","Ready",IF(M171="Terkendala","Not Ready",IF(AND(J171="Critical",L171&lt;=TODAY()+3,N171&lt;100),"At Risk","In Progress")))</x:f>
        <x:v>In Progress</x:v>
      </x:c>
      <x:c r="P171" s="20" t="str"/>
      <x:c r="Q171" s="20" t="str"/>
      <x:c r="R171" s="20" t="str"/>
      <x:c r="S171" s="20" t="str">
        <x:v>Initial Setup</x:v>
      </x:c>
      <x:c r="T171" s="32" t="n">
        <x:v>46229.833333333336</x:v>
      </x:c>
      <x:c r="U171" s="20" t="str"/>
      <x:c r="V171" s="20" t="str">
        <x:v>Belum Diverifikasi</x:v>
      </x:c>
      <x:c r="W171" s="20" t="str"/>
      <x:c r="X171" s="20" t="str"/>
      <x:c r="Y171" s="20" t="str">
        <x:v>Ya</x:v>
      </x:c>
      <x:c r="Z171" s="20" t="str">
        <x:v>Semua</x:v>
      </x:c>
      <x:c r="AA171" s="33" t="n">
        <x:f>IF(L171="","",L171-TODAY())</x:f>
        <x:v>14</x:v>
      </x:c>
      <x:c r="AB171" s="20" t="str">
        <x:f>IF(AND(L171&lt;&gt;"",L171&lt;TODAY(),M171&lt;&gt;"Selesai &amp; Terverifikasi",M171&lt;&gt;"Tidak Berlaku"),"OVERDUE","")</x:f>
      </x:c>
      <x:c r="AC171" s="20" t="n">
        <x:f>IF(J171="Critical",4,IF(J171="High",3,IF(J171="Medium",2,1)))</x:f>
        <x:v>3</x:v>
      </x:c>
      <x:c r="AD171" s="20" t="n">
        <x:f>N171*AC171</x:f>
        <x:v>0</x:v>
      </x:c>
    </x:row>
    <x:row r="172">
      <x:c r="A172" s="20" t="str">
        <x:v>TSK-171</x:v>
      </x:c>
      <x:c r="B172" s="20" t="str">
        <x:v>EVT-GEN</x:v>
      </x:c>
      <x:c r="C172" s="20" t="str">
        <x:v>Seluruh Venue</x:v>
      </x:c>
      <x:c r="D172" s="20" t="str">
        <x:v>IT &amp; AV</x:v>
      </x:c>
      <x:c r="E172" s="20" t="str">
        <x:v>Susun master equipment list AV</x:v>
      </x:c>
      <x:c r="F172" s="20" t="str">
        <x:v>Peralatan utama, backup, lokasi dan owner tercatat.</x:v>
      </x:c>
      <x:c r="G172" s="20" t="str">
        <x:v>Shared</x:v>
      </x:c>
      <x:c r="H172" s="20" t="str">
        <x:v>IT &amp; AV</x:v>
      </x:c>
      <x:c r="I172" s="20" t="str"/>
      <x:c r="J172" s="20" t="str">
        <x:v>Critical</x:v>
      </x:c>
      <x:c r="K172" s="30" t="n">
        <x:v>46230</x:v>
      </x:c>
      <x:c r="L172" s="30" t="n">
        <x:v>46236</x:v>
      </x:c>
      <x:c r="M172" s="20" t="str">
        <x:v>Belum Dimulai</x:v>
      </x:c>
      <x:c r="N172" s="31" t="n">
        <x:v>0</x:v>
      </x:c>
      <x:c r="O172" s="20" t="str">
        <x:f>IF(M172="Selesai &amp; Terverifikasi","Ready",IF(M172="Terkendala","Not Ready",IF(AND(J172="Critical",L172&lt;=TODAY()+3,N172&lt;100),"At Risk","In Progress")))</x:f>
        <x:v>In Progress</x:v>
      </x:c>
      <x:c r="P172" s="20" t="str"/>
      <x:c r="Q172" s="20" t="str"/>
      <x:c r="R172" s="20" t="str"/>
      <x:c r="S172" s="20" t="str">
        <x:v>Initial Setup</x:v>
      </x:c>
      <x:c r="T172" s="32" t="n">
        <x:v>46229.833333333336</x:v>
      </x:c>
      <x:c r="U172" s="20" t="str"/>
      <x:c r="V172" s="20" t="str">
        <x:v>Belum Diverifikasi</x:v>
      </x:c>
      <x:c r="W172" s="20" t="str"/>
      <x:c r="X172" s="20" t="str"/>
      <x:c r="Y172" s="20" t="str">
        <x:v>Ya</x:v>
      </x:c>
      <x:c r="Z172" s="20" t="str">
        <x:v>Semua</x:v>
      </x:c>
      <x:c r="AA172" s="33" t="n">
        <x:f>IF(L172="","",L172-TODAY())</x:f>
        <x:v>7</x:v>
      </x:c>
      <x:c r="AB172" s="20" t="str">
        <x:f>IF(AND(L172&lt;&gt;"",L172&lt;TODAY(),M172&lt;&gt;"Selesai &amp; Terverifikasi",M172&lt;&gt;"Tidak Berlaku"),"OVERDUE","")</x:f>
      </x:c>
      <x:c r="AC172" s="20" t="n">
        <x:f>IF(J172="Critical",4,IF(J172="High",3,IF(J172="Medium",2,1)))</x:f>
        <x:v>4</x:v>
      </x:c>
      <x:c r="AD172" s="20" t="n">
        <x:f>N172*AC172</x:f>
        <x:v>0</x:v>
      </x:c>
    </x:row>
    <x:row r="173">
      <x:c r="A173" s="20" t="str">
        <x:v>TSK-172</x:v>
      </x:c>
      <x:c r="B173" s="20" t="str">
        <x:v>EVT-GEN</x:v>
      </x:c>
      <x:c r="C173" s="20" t="str">
        <x:v>Seluruh Venue</x:v>
      </x:c>
      <x:c r="D173" s="20" t="str">
        <x:v>IT &amp; AV</x:v>
      </x:c>
      <x:c r="E173" s="20" t="str">
        <x:v>Uji kapasitas Wi-Fi tiap venue</x:v>
      </x:c>
      <x:c r="F173" s="20" t="str">
        <x:v>Bandwidth, coverage dan user load diuji.</x:v>
      </x:c>
      <x:c r="G173" s="20" t="str">
        <x:v>Shared</x:v>
      </x:c>
      <x:c r="H173" s="20" t="str">
        <x:v>IT &amp; AV</x:v>
      </x:c>
      <x:c r="I173" s="20" t="str"/>
      <x:c r="J173" s="20" t="str">
        <x:v>High</x:v>
      </x:c>
      <x:c r="K173" s="30" t="n">
        <x:v>46230</x:v>
      </x:c>
      <x:c r="L173" s="30" t="n">
        <x:v>46241</x:v>
      </x:c>
      <x:c r="M173" s="20" t="str">
        <x:v>Belum Dimulai</x:v>
      </x:c>
      <x:c r="N173" s="31" t="n">
        <x:v>0</x:v>
      </x:c>
      <x:c r="O173" s="20" t="str">
        <x:f>IF(M173="Selesai &amp; Terverifikasi","Ready",IF(M173="Terkendala","Not Ready",IF(AND(J173="Critical",L173&lt;=TODAY()+3,N173&lt;100),"At Risk","In Progress")))</x:f>
        <x:v>In Progress</x:v>
      </x:c>
      <x:c r="P173" s="20" t="str"/>
      <x:c r="Q173" s="20" t="str"/>
      <x:c r="R173" s="20" t="str"/>
      <x:c r="S173" s="20" t="str">
        <x:v>Initial Setup</x:v>
      </x:c>
      <x:c r="T173" s="32" t="n">
        <x:v>46229.833333333336</x:v>
      </x:c>
      <x:c r="U173" s="20" t="str"/>
      <x:c r="V173" s="20" t="str">
        <x:v>Belum Diverifikasi</x:v>
      </x:c>
      <x:c r="W173" s="20" t="str"/>
      <x:c r="X173" s="20" t="str"/>
      <x:c r="Y173" s="20" t="str">
        <x:v>Ya</x:v>
      </x:c>
      <x:c r="Z173" s="20" t="str">
        <x:v>Semua</x:v>
      </x:c>
      <x:c r="AA173" s="33" t="n">
        <x:f>IF(L173="","",L173-TODAY())</x:f>
        <x:v>12</x:v>
      </x:c>
      <x:c r="AB173" s="20" t="str">
        <x:f>IF(AND(L173&lt;&gt;"",L173&lt;TODAY(),M173&lt;&gt;"Selesai &amp; Terverifikasi",M173&lt;&gt;"Tidak Berlaku"),"OVERDUE","")</x:f>
      </x:c>
      <x:c r="AC173" s="20" t="n">
        <x:f>IF(J173="Critical",4,IF(J173="High",3,IF(J173="Medium",2,1)))</x:f>
        <x:v>3</x:v>
      </x:c>
      <x:c r="AD173" s="20" t="n">
        <x:f>N173*AC173</x:f>
        <x:v>0</x:v>
      </x:c>
    </x:row>
    <x:row r="174">
      <x:c r="A174" s="20" t="str">
        <x:v>TSK-173</x:v>
      </x:c>
      <x:c r="B174" s="20" t="str">
        <x:v>EVT-GEN</x:v>
      </x:c>
      <x:c r="C174" s="20" t="str">
        <x:v>Seluruh Venue</x:v>
      </x:c>
      <x:c r="D174" s="20" t="str">
        <x:v>IT &amp; AV</x:v>
      </x:c>
      <x:c r="E174" s="20" t="str">
        <x:v>Siapkan backup internet</x:v>
      </x:c>
      <x:c r="F174" s="20" t="str">
        <x:v>Modem/hotspot dan provider alternatif tersedia.</x:v>
      </x:c>
      <x:c r="G174" s="20" t="str">
        <x:v>Shared</x:v>
      </x:c>
      <x:c r="H174" s="20" t="str">
        <x:v>IT &amp; AV</x:v>
      </x:c>
      <x:c r="I174" s="20" t="str"/>
      <x:c r="J174" s="20" t="str">
        <x:v>High</x:v>
      </x:c>
      <x:c r="K174" s="30" t="n">
        <x:v>46230</x:v>
      </x:c>
      <x:c r="L174" s="30" t="n">
        <x:v>46242</x:v>
      </x:c>
      <x:c r="M174" s="20" t="str">
        <x:v>Belum Dimulai</x:v>
      </x:c>
      <x:c r="N174" s="31" t="n">
        <x:v>0</x:v>
      </x:c>
      <x:c r="O174" s="20" t="str">
        <x:f>IF(M174="Selesai &amp; Terverifikasi","Ready",IF(M174="Terkendala","Not Ready",IF(AND(J174="Critical",L174&lt;=TODAY()+3,N174&lt;100),"At Risk","In Progress")))</x:f>
        <x:v>In Progress</x:v>
      </x:c>
      <x:c r="P174" s="20" t="str"/>
      <x:c r="Q174" s="20" t="str"/>
      <x:c r="R174" s="20" t="str"/>
      <x:c r="S174" s="20" t="str">
        <x:v>Initial Setup</x:v>
      </x:c>
      <x:c r="T174" s="32" t="n">
        <x:v>46229.833333333336</x:v>
      </x:c>
      <x:c r="U174" s="20" t="str"/>
      <x:c r="V174" s="20" t="str">
        <x:v>Belum Diverifikasi</x:v>
      </x:c>
      <x:c r="W174" s="20" t="str"/>
      <x:c r="X174" s="20" t="str"/>
      <x:c r="Y174" s="20" t="str">
        <x:v>Ya</x:v>
      </x:c>
      <x:c r="Z174" s="20" t="str">
        <x:v>Semua</x:v>
      </x:c>
      <x:c r="AA174" s="33" t="n">
        <x:f>IF(L174="","",L174-TODAY())</x:f>
        <x:v>13</x:v>
      </x:c>
      <x:c r="AB174" s="20" t="str">
        <x:f>IF(AND(L174&lt;&gt;"",L174&lt;TODAY(),M174&lt;&gt;"Selesai &amp; Terverifikasi",M174&lt;&gt;"Tidak Berlaku"),"OVERDUE","")</x:f>
      </x:c>
      <x:c r="AC174" s="20" t="n">
        <x:f>IF(J174="Critical",4,IF(J174="High",3,IF(J174="Medium",2,1)))</x:f>
        <x:v>3</x:v>
      </x:c>
      <x:c r="AD174" s="20" t="n">
        <x:f>N174*AC174</x:f>
        <x:v>0</x:v>
      </x:c>
    </x:row>
    <x:row r="175">
      <x:c r="A175" s="20" t="str">
        <x:v>TSK-174</x:v>
      </x:c>
      <x:c r="B175" s="20" t="str">
        <x:v>EVT-GEN</x:v>
      </x:c>
      <x:c r="C175" s="20" t="str">
        <x:v>Seluruh Venue</x:v>
      </x:c>
      <x:c r="D175" s="20" t="str">
        <x:v>IT &amp; AV</x:v>
      </x:c>
      <x:c r="E175" s="20" t="str">
        <x:v>Uji integrasi laptop, LED, audio dan recording</x:v>
      </x:c>
      <x:c r="F175" s="20" t="str">
        <x:v>Semua input/output dan adapter diuji.</x:v>
      </x:c>
      <x:c r="G175" s="20" t="str">
        <x:v>Shared</x:v>
      </x:c>
      <x:c r="H175" s="20" t="str">
        <x:v>IT &amp; AV</x:v>
      </x:c>
      <x:c r="I175" s="20" t="str"/>
      <x:c r="J175" s="20" t="str">
        <x:v>Critical</x:v>
      </x:c>
      <x:c r="K175" s="30" t="n">
        <x:v>46230</x:v>
      </x:c>
      <x:c r="L175" s="30" t="n">
        <x:v>46242</x:v>
      </x:c>
      <x:c r="M175" s="20" t="str">
        <x:v>Belum Dimulai</x:v>
      </x:c>
      <x:c r="N175" s="31" t="n">
        <x:v>0</x:v>
      </x:c>
      <x:c r="O175" s="20" t="str">
        <x:f>IF(M175="Selesai &amp; Terverifikasi","Ready",IF(M175="Terkendala","Not Ready",IF(AND(J175="Critical",L175&lt;=TODAY()+3,N175&lt;100),"At Risk","In Progress")))</x:f>
        <x:v>In Progress</x:v>
      </x:c>
      <x:c r="P175" s="20" t="str"/>
      <x:c r="Q175" s="20" t="str"/>
      <x:c r="R175" s="20" t="str"/>
      <x:c r="S175" s="20" t="str">
        <x:v>Initial Setup</x:v>
      </x:c>
      <x:c r="T175" s="32" t="n">
        <x:v>46229.833333333336</x:v>
      </x:c>
      <x:c r="U175" s="20" t="str"/>
      <x:c r="V175" s="20" t="str">
        <x:v>Belum Diverifikasi</x:v>
      </x:c>
      <x:c r="W175" s="20" t="str"/>
      <x:c r="X175" s="20" t="str"/>
      <x:c r="Y175" s="20" t="str">
        <x:v>Ya</x:v>
      </x:c>
      <x:c r="Z175" s="20" t="str">
        <x:v>Semua</x:v>
      </x:c>
      <x:c r="AA175" s="33" t="n">
        <x:f>IF(L175="","",L175-TODAY())</x:f>
        <x:v>13</x:v>
      </x:c>
      <x:c r="AB175" s="20" t="str">
        <x:f>IF(AND(L175&lt;&gt;"",L175&lt;TODAY(),M175&lt;&gt;"Selesai &amp; Terverifikasi",M175&lt;&gt;"Tidak Berlaku"),"OVERDUE","")</x:f>
      </x:c>
      <x:c r="AC175" s="20" t="n">
        <x:f>IF(J175="Critical",4,IF(J175="High",3,IF(J175="Medium",2,1)))</x:f>
        <x:v>4</x:v>
      </x:c>
      <x:c r="AD175" s="20" t="n">
        <x:f>N175*AC175</x:f>
        <x:v>0</x:v>
      </x:c>
    </x:row>
    <x:row r="176">
      <x:c r="A176" s="20" t="str">
        <x:v>TSK-175</x:v>
      </x:c>
      <x:c r="B176" s="20" t="str">
        <x:v>EVT-GEN</x:v>
      </x:c>
      <x:c r="C176" s="20" t="str">
        <x:v>Seluruh Venue</x:v>
      </x:c>
      <x:c r="D176" s="20" t="str">
        <x:v>IT &amp; AV</x:v>
      </x:c>
      <x:c r="E176" s="20" t="str">
        <x:v>Siapkan operator AV per venue</x:v>
      </x:c>
      <x:c r="F176" s="20" t="str">
        <x:v>Nama, shift dan escalation tersedia.</x:v>
      </x:c>
      <x:c r="G176" s="20" t="str">
        <x:v>Shared</x:v>
      </x:c>
      <x:c r="H176" s="20" t="str">
        <x:v>IT &amp; AV</x:v>
      </x:c>
      <x:c r="I176" s="20" t="str"/>
      <x:c r="J176" s="20" t="str">
        <x:v>Critical</x:v>
      </x:c>
      <x:c r="K176" s="30" t="n">
        <x:v>46230</x:v>
      </x:c>
      <x:c r="L176" s="30" t="n">
        <x:v>46241</x:v>
      </x:c>
      <x:c r="M176" s="20" t="str">
        <x:v>Belum Dimulai</x:v>
      </x:c>
      <x:c r="N176" s="31" t="n">
        <x:v>0</x:v>
      </x:c>
      <x:c r="O176" s="20" t="str">
        <x:f>IF(M176="Selesai &amp; Terverifikasi","Ready",IF(M176="Terkendala","Not Ready",IF(AND(J176="Critical",L176&lt;=TODAY()+3,N176&lt;100),"At Risk","In Progress")))</x:f>
        <x:v>In Progress</x:v>
      </x:c>
      <x:c r="P176" s="20" t="str"/>
      <x:c r="Q176" s="20" t="str"/>
      <x:c r="R176" s="20" t="str"/>
      <x:c r="S176" s="20" t="str">
        <x:v>Initial Setup</x:v>
      </x:c>
      <x:c r="T176" s="32" t="n">
        <x:v>46229.833333333336</x:v>
      </x:c>
      <x:c r="U176" s="20" t="str"/>
      <x:c r="V176" s="20" t="str">
        <x:v>Belum Diverifikasi</x:v>
      </x:c>
      <x:c r="W176" s="20" t="str"/>
      <x:c r="X176" s="20" t="str"/>
      <x:c r="Y176" s="20" t="str">
        <x:v>Ya</x:v>
      </x:c>
      <x:c r="Z176" s="20" t="str">
        <x:v>Semua</x:v>
      </x:c>
      <x:c r="AA176" s="33" t="n">
        <x:f>IF(L176="","",L176-TODAY())</x:f>
        <x:v>12</x:v>
      </x:c>
      <x:c r="AB176" s="20" t="str">
        <x:f>IF(AND(L176&lt;&gt;"",L176&lt;TODAY(),M176&lt;&gt;"Selesai &amp; Terverifikasi",M176&lt;&gt;"Tidak Berlaku"),"OVERDUE","")</x:f>
      </x:c>
      <x:c r="AC176" s="20" t="n">
        <x:f>IF(J176="Critical",4,IF(J176="High",3,IF(J176="Medium",2,1)))</x:f>
        <x:v>4</x:v>
      </x:c>
      <x:c r="AD176" s="20" t="n">
        <x:f>N176*AC176</x:f>
        <x:v>0</x:v>
      </x:c>
    </x:row>
    <x:row r="177">
      <x:c r="A177" s="20" t="str">
        <x:v>TSK-176</x:v>
      </x:c>
      <x:c r="B177" s="20" t="str">
        <x:v>EVT-GEN</x:v>
      </x:c>
      <x:c r="C177" s="20" t="str">
        <x:v>Seluruh Venue</x:v>
      </x:c>
      <x:c r="D177" s="20" t="str">
        <x:v>IT &amp; AV</x:v>
      </x:c>
      <x:c r="E177" s="20" t="str">
        <x:v>Siapkan charging station dan power strip aman</x:v>
      </x:c>
      <x:c r="F177" s="20" t="str">
        <x:v>Titik charging tidak mengganggu jalur dan dilindungi.</x:v>
      </x:c>
      <x:c r="G177" s="20" t="str">
        <x:v>Shared</x:v>
      </x:c>
      <x:c r="H177" s="20" t="str">
        <x:v>IT &amp; AV</x:v>
      </x:c>
      <x:c r="I177" s="20" t="str"/>
      <x:c r="J177" s="20" t="str">
        <x:v>Medium</x:v>
      </x:c>
      <x:c r="K177" s="30" t="n">
        <x:v>46230</x:v>
      </x:c>
      <x:c r="L177" s="30" t="n">
        <x:v>46242</x:v>
      </x:c>
      <x:c r="M177" s="20" t="str">
        <x:v>Belum Dimulai</x:v>
      </x:c>
      <x:c r="N177" s="31" t="n">
        <x:v>0</x:v>
      </x:c>
      <x:c r="O177" s="20" t="str">
        <x:f>IF(M177="Selesai &amp; Terverifikasi","Ready",IF(M177="Terkendala","Not Ready",IF(AND(J177="Critical",L177&lt;=TODAY()+3,N177&lt;100),"At Risk","In Progress")))</x:f>
        <x:v>In Progress</x:v>
      </x:c>
      <x:c r="P177" s="20" t="str"/>
      <x:c r="Q177" s="20" t="str"/>
      <x:c r="R177" s="20" t="str"/>
      <x:c r="S177" s="20" t="str">
        <x:v>Initial Setup</x:v>
      </x:c>
      <x:c r="T177" s="32" t="n">
        <x:v>46229.833333333336</x:v>
      </x:c>
      <x:c r="U177" s="20" t="str"/>
      <x:c r="V177" s="20" t="str">
        <x:v>Belum Diverifikasi</x:v>
      </x:c>
      <x:c r="W177" s="20" t="str"/>
      <x:c r="X177" s="20" t="str"/>
      <x:c r="Y177" s="20" t="str">
        <x:v>Ya</x:v>
      </x:c>
      <x:c r="Z177" s="20" t="str">
        <x:v>Semua</x:v>
      </x:c>
      <x:c r="AA177" s="33" t="n">
        <x:f>IF(L177="","",L177-TODAY())</x:f>
        <x:v>13</x:v>
      </x:c>
      <x:c r="AB177" s="20" t="str">
        <x:f>IF(AND(L177&lt;&gt;"",L177&lt;TODAY(),M177&lt;&gt;"Selesai &amp; Terverifikasi",M177&lt;&gt;"Tidak Berlaku"),"OVERDUE","")</x:f>
      </x:c>
      <x:c r="AC177" s="20" t="n">
        <x:f>IF(J177="Critical",4,IF(J177="High",3,IF(J177="Medium",2,1)))</x:f>
        <x:v>2</x:v>
      </x:c>
      <x:c r="AD177" s="20" t="n">
        <x:f>N177*AC177</x:f>
        <x:v>0</x:v>
      </x:c>
    </x:row>
    <x:row r="178">
      <x:c r="A178" s="20" t="str">
        <x:v>TSK-177</x:v>
      </x:c>
      <x:c r="B178" s="20" t="str">
        <x:v>EVT-GEN</x:v>
      </x:c>
      <x:c r="C178" s="20" t="str">
        <x:v>Seluruh Venue</x:v>
      </x:c>
      <x:c r="D178" s="20" t="str">
        <x:v>IT &amp; AV</x:v>
      </x:c>
      <x:c r="E178" s="20" t="str">
        <x:v>Siapkan digital signage/QR informasi</x:v>
      </x:c>
      <x:c r="F178" s="20" t="str">
        <x:v>Link rundown publik, venue dan kontak bantuan siap.</x:v>
      </x:c>
      <x:c r="G178" s="20" t="str">
        <x:v>Shared</x:v>
      </x:c>
      <x:c r="H178" s="20" t="str">
        <x:v>IT &amp; AV</x:v>
      </x:c>
      <x:c r="I178" s="20" t="str"/>
      <x:c r="J178" s="20" t="str">
        <x:v>Medium</x:v>
      </x:c>
      <x:c r="K178" s="30" t="n">
        <x:v>46230</x:v>
      </x:c>
      <x:c r="L178" s="30" t="n">
        <x:v>46242</x:v>
      </x:c>
      <x:c r="M178" s="20" t="str">
        <x:v>Belum Dimulai</x:v>
      </x:c>
      <x:c r="N178" s="31" t="n">
        <x:v>0</x:v>
      </x:c>
      <x:c r="O178" s="20" t="str">
        <x:f>IF(M178="Selesai &amp; Terverifikasi","Ready",IF(M178="Terkendala","Not Ready",IF(AND(J178="Critical",L178&lt;=TODAY()+3,N178&lt;100),"At Risk","In Progress")))</x:f>
        <x:v>In Progress</x:v>
      </x:c>
      <x:c r="P178" s="20" t="str"/>
      <x:c r="Q178" s="20" t="str"/>
      <x:c r="R178" s="20" t="str"/>
      <x:c r="S178" s="20" t="str">
        <x:v>Initial Setup</x:v>
      </x:c>
      <x:c r="T178" s="32" t="n">
        <x:v>46229.833333333336</x:v>
      </x:c>
      <x:c r="U178" s="20" t="str"/>
      <x:c r="V178" s="20" t="str">
        <x:v>Belum Diverifikasi</x:v>
      </x:c>
      <x:c r="W178" s="20" t="str"/>
      <x:c r="X178" s="20" t="str"/>
      <x:c r="Y178" s="20" t="str">
        <x:v>Ya</x:v>
      </x:c>
      <x:c r="Z178" s="20" t="str">
        <x:v>Semua</x:v>
      </x:c>
      <x:c r="AA178" s="33" t="n">
        <x:f>IF(L178="","",L178-TODAY())</x:f>
        <x:v>13</x:v>
      </x:c>
      <x:c r="AB178" s="20" t="str">
        <x:f>IF(AND(L178&lt;&gt;"",L178&lt;TODAY(),M178&lt;&gt;"Selesai &amp; Terverifikasi",M178&lt;&gt;"Tidak Berlaku"),"OVERDUE","")</x:f>
      </x:c>
      <x:c r="AC178" s="20" t="n">
        <x:f>IF(J178="Critical",4,IF(J178="High",3,IF(J178="Medium",2,1)))</x:f>
        <x:v>2</x:v>
      </x:c>
      <x:c r="AD178" s="20" t="n">
        <x:f>N178*AC178</x:f>
        <x:v>0</x:v>
      </x:c>
    </x:row>
    <x:row r="179">
      <x:c r="A179" s="20" t="str">
        <x:v>TSK-178</x:v>
      </x:c>
      <x:c r="B179" s="20" t="str">
        <x:v>EVT-GEN</x:v>
      </x:c>
      <x:c r="C179" s="20" t="str">
        <x:v>Seluruh Venue</x:v>
      </x:c>
      <x:c r="D179" s="20" t="str">
        <x:v>IT &amp; AV</x:v>
      </x:c>
      <x:c r="E179" s="20" t="str">
        <x:v>Siapkan IT helpdesk</x:v>
      </x:c>
      <x:c r="F179" s="20" t="str">
        <x:v>Kontak dan titik support selama acara tersedia.</x:v>
      </x:c>
      <x:c r="G179" s="20" t="str">
        <x:v>Shared</x:v>
      </x:c>
      <x:c r="H179" s="20" t="str">
        <x:v>IT &amp; AV</x:v>
      </x:c>
      <x:c r="I179" s="20" t="str"/>
      <x:c r="J179" s="20" t="str">
        <x:v>High</x:v>
      </x:c>
      <x:c r="K179" s="30" t="n">
        <x:v>46230</x:v>
      </x:c>
      <x:c r="L179" s="30" t="n">
        <x:v>46243</x:v>
      </x:c>
      <x:c r="M179" s="20" t="str">
        <x:v>Belum Dimulai</x:v>
      </x:c>
      <x:c r="N179" s="31" t="n">
        <x:v>0</x:v>
      </x:c>
      <x:c r="O179" s="20" t="str">
        <x:f>IF(M179="Selesai &amp; Terverifikasi","Ready",IF(M179="Terkendala","Not Ready",IF(AND(J179="Critical",L179&lt;=TODAY()+3,N179&lt;100),"At Risk","In Progress")))</x:f>
        <x:v>In Progress</x:v>
      </x:c>
      <x:c r="P179" s="20" t="str"/>
      <x:c r="Q179" s="20" t="str"/>
      <x:c r="R179" s="20" t="str"/>
      <x:c r="S179" s="20" t="str">
        <x:v>Initial Setup</x:v>
      </x:c>
      <x:c r="T179" s="32" t="n">
        <x:v>46229.833333333336</x:v>
      </x:c>
      <x:c r="U179" s="20" t="str"/>
      <x:c r="V179" s="20" t="str">
        <x:v>Belum Diverifikasi</x:v>
      </x:c>
      <x:c r="W179" s="20" t="str"/>
      <x:c r="X179" s="20" t="str"/>
      <x:c r="Y179" s="20" t="str">
        <x:v>Ya</x:v>
      </x:c>
      <x:c r="Z179" s="20" t="str">
        <x:v>Semua</x:v>
      </x:c>
      <x:c r="AA179" s="33" t="n">
        <x:f>IF(L179="","",L179-TODAY())</x:f>
        <x:v>14</x:v>
      </x:c>
      <x:c r="AB179" s="20" t="str">
        <x:f>IF(AND(L179&lt;&gt;"",L179&lt;TODAY(),M179&lt;&gt;"Selesai &amp; Terverifikasi",M179&lt;&gt;"Tidak Berlaku"),"OVERDUE","")</x:f>
      </x:c>
      <x:c r="AC179" s="20" t="n">
        <x:f>IF(J179="Critical",4,IF(J179="High",3,IF(J179="Medium",2,1)))</x:f>
        <x:v>3</x:v>
      </x:c>
      <x:c r="AD179" s="20" t="n">
        <x:f>N179*AC179</x:f>
        <x:v>0</x:v>
      </x:c>
    </x:row>
    <x:row r="180">
      <x:c r="A180" s="20" t="str">
        <x:v>TSK-179</x:v>
      </x:c>
      <x:c r="B180" s="20" t="str">
        <x:v>EVT-GEN</x:v>
      </x:c>
      <x:c r="C180" s="20" t="str">
        <x:v>Seluruh Venue</x:v>
      </x:c>
      <x:c r="D180" s="20" t="str">
        <x:v>IT &amp; AV</x:v>
      </x:c>
      <x:c r="E180" s="20" t="str">
        <x:v>Final end-to-end technical rehearsal</x:v>
      </x:c>
      <x:c r="F180" s="20" t="str">
        <x:v>Semua venue dan perpindahan diuji.</x:v>
      </x:c>
      <x:c r="G180" s="20" t="str">
        <x:v>Shared</x:v>
      </x:c>
      <x:c r="H180" s="20" t="str">
        <x:v>IT &amp; AV</x:v>
      </x:c>
      <x:c r="I180" s="20" t="str"/>
      <x:c r="J180" s="20" t="str">
        <x:v>Critical</x:v>
      </x:c>
      <x:c r="K180" s="30" t="n">
        <x:v>46230</x:v>
      </x:c>
      <x:c r="L180" s="30" t="n">
        <x:v>46243</x:v>
      </x:c>
      <x:c r="M180" s="20" t="str">
        <x:v>Belum Dimulai</x:v>
      </x:c>
      <x:c r="N180" s="31" t="n">
        <x:v>0</x:v>
      </x:c>
      <x:c r="O180" s="20" t="str">
        <x:f>IF(M180="Selesai &amp; Terverifikasi","Ready",IF(M180="Terkendala","Not Ready",IF(AND(J180="Critical",L180&lt;=TODAY()+3,N180&lt;100),"At Risk","In Progress")))</x:f>
        <x:v>In Progress</x:v>
      </x:c>
      <x:c r="P180" s="20" t="str"/>
      <x:c r="Q180" s="20" t="str"/>
      <x:c r="R180" s="20" t="str"/>
      <x:c r="S180" s="20" t="str">
        <x:v>Initial Setup</x:v>
      </x:c>
      <x:c r="T180" s="32" t="n">
        <x:v>46229.833333333336</x:v>
      </x:c>
      <x:c r="U180" s="20" t="str"/>
      <x:c r="V180" s="20" t="str">
        <x:v>Belum Diverifikasi</x:v>
      </x:c>
      <x:c r="W180" s="20" t="str"/>
      <x:c r="X180" s="20" t="str"/>
      <x:c r="Y180" s="20" t="str">
        <x:v>Ya</x:v>
      </x:c>
      <x:c r="Z180" s="20" t="str">
        <x:v>Semua</x:v>
      </x:c>
      <x:c r="AA180" s="33" t="n">
        <x:f>IF(L180="","",L180-TODAY())</x:f>
        <x:v>14</x:v>
      </x:c>
      <x:c r="AB180" s="20" t="str">
        <x:f>IF(AND(L180&lt;&gt;"",L180&lt;TODAY(),M180&lt;&gt;"Selesai &amp; Terverifikasi",M180&lt;&gt;"Tidak Berlaku"),"OVERDUE","")</x:f>
      </x:c>
      <x:c r="AC180" s="20" t="n">
        <x:f>IF(J180="Critical",4,IF(J180="High",3,IF(J180="Medium",2,1)))</x:f>
        <x:v>4</x:v>
      </x:c>
      <x:c r="AD180" s="20" t="n">
        <x:f>N180*AC180</x:f>
        <x:v>0</x:v>
      </x:c>
    </x:row>
    <x:row r="181">
      <x:c r="A181" s="20" t="str">
        <x:v>TSK-180</x:v>
      </x:c>
      <x:c r="B181" s="20" t="str">
        <x:v>EVT-GEN</x:v>
      </x:c>
      <x:c r="C181" s="20" t="str">
        <x:v>Seluruh Venue</x:v>
      </x:c>
      <x:c r="D181" s="20" t="str">
        <x:v>EO Coordination</x:v>
      </x:c>
      <x:c r="E181" s="20" t="str">
        <x:v>Unggah dan review scope kerja EO</x:v>
      </x:c>
      <x:c r="F181" s="20" t="str">
        <x:v>Kontrak/proposal dan deliverable tercatat di EO Scope.</x:v>
      </x:c>
      <x:c r="G181" s="20" t="str">
        <x:v>EO</x:v>
      </x:c>
      <x:c r="H181" s="20" t="str">
        <x:v>EO Coordination</x:v>
      </x:c>
      <x:c r="I181" s="20" t="str">
        <x:v>Heri Afriadi Aka</x:v>
      </x:c>
      <x:c r="J181" s="20" t="str">
        <x:v>Critical</x:v>
      </x:c>
      <x:c r="K181" s="30" t="n">
        <x:v>46230</x:v>
      </x:c>
      <x:c r="L181" s="30" t="n">
        <x:v>46233</x:v>
      </x:c>
      <x:c r="M181" s="20" t="str">
        <x:v>Belum Dimulai</x:v>
      </x:c>
      <x:c r="N181" s="31" t="n">
        <x:v>0</x:v>
      </x:c>
      <x:c r="O181" s="20" t="str">
        <x:f>IF(M181="Selesai &amp; Terverifikasi","Ready",IF(M181="Terkendala","Not Ready",IF(AND(J181="Critical",L181&lt;=TODAY()+3,N181&lt;100),"At Risk","In Progress")))</x:f>
        <x:v>In Progress</x:v>
      </x:c>
      <x:c r="P181" s="20" t="str"/>
      <x:c r="Q181" s="20" t="str"/>
      <x:c r="R181" s="20" t="str"/>
      <x:c r="S181" s="20" t="str">
        <x:v>Initial Setup</x:v>
      </x:c>
      <x:c r="T181" s="32" t="n">
        <x:v>46229.833333333336</x:v>
      </x:c>
      <x:c r="U181" s="20" t="str"/>
      <x:c r="V181" s="20" t="str">
        <x:v>Belum Diverifikasi</x:v>
      </x:c>
      <x:c r="W181" s="20" t="str"/>
      <x:c r="X181" s="20" t="str"/>
      <x:c r="Y181" s="20" t="str">
        <x:v>Ya</x:v>
      </x:c>
      <x:c r="Z181" s="20" t="str">
        <x:v>Semua</x:v>
      </x:c>
      <x:c r="AA181" s="33" t="n">
        <x:f>IF(L181="","",L181-TODAY())</x:f>
        <x:v>4</x:v>
      </x:c>
      <x:c r="AB181" s="20" t="str">
        <x:f>IF(AND(L181&lt;&gt;"",L181&lt;TODAY(),M181&lt;&gt;"Selesai &amp; Terverifikasi",M181&lt;&gt;"Tidak Berlaku"),"OVERDUE","")</x:f>
      </x:c>
      <x:c r="AC181" s="20" t="n">
        <x:f>IF(J181="Critical",4,IF(J181="High",3,IF(J181="Medium",2,1)))</x:f>
        <x:v>4</x:v>
      </x:c>
      <x:c r="AD181" s="20" t="n">
        <x:f>N181*AC181</x:f>
        <x:v>0</x:v>
      </x:c>
    </x:row>
    <x:row r="182">
      <x:c r="A182" s="20" t="str">
        <x:v>TSK-181</x:v>
      </x:c>
      <x:c r="B182" s="20" t="str">
        <x:v>EVT-GEN</x:v>
      </x:c>
      <x:c r="C182" s="20" t="str">
        <x:v>Seluruh Venue</x:v>
      </x:c>
      <x:c r="D182" s="20" t="str">
        <x:v>EO Coordination</x:v>
      </x:c>
      <x:c r="E182" s="20" t="str">
        <x:v>Konfirmasi project manager dan PIC EO</x:v>
      </x:c>
      <x:c r="F182" s="20" t="str">
        <x:v>Kontak utama dan backup tersedia.</x:v>
      </x:c>
      <x:c r="G182" s="20" t="str">
        <x:v>EO</x:v>
      </x:c>
      <x:c r="H182" s="20" t="str">
        <x:v>EO Coordination</x:v>
      </x:c>
      <x:c r="I182" s="20" t="str">
        <x:v>Heri Afriadi Aka</x:v>
      </x:c>
      <x:c r="J182" s="20" t="str">
        <x:v>Critical</x:v>
      </x:c>
      <x:c r="K182" s="30" t="n">
        <x:v>46230</x:v>
      </x:c>
      <x:c r="L182" s="30" t="n">
        <x:v>46233</x:v>
      </x:c>
      <x:c r="M182" s="20" t="str">
        <x:v>Belum Dimulai</x:v>
      </x:c>
      <x:c r="N182" s="31" t="n">
        <x:v>0</x:v>
      </x:c>
      <x:c r="O182" s="20" t="str">
        <x:f>IF(M182="Selesai &amp; Terverifikasi","Ready",IF(M182="Terkendala","Not Ready",IF(AND(J182="Critical",L182&lt;=TODAY()+3,N182&lt;100),"At Risk","In Progress")))</x:f>
        <x:v>In Progress</x:v>
      </x:c>
      <x:c r="P182" s="20" t="str"/>
      <x:c r="Q182" s="20" t="str"/>
      <x:c r="R182" s="20" t="str"/>
      <x:c r="S182" s="20" t="str">
        <x:v>Initial Setup</x:v>
      </x:c>
      <x:c r="T182" s="32" t="n">
        <x:v>46229.833333333336</x:v>
      </x:c>
      <x:c r="U182" s="20" t="str"/>
      <x:c r="V182" s="20" t="str">
        <x:v>Belum Diverifikasi</x:v>
      </x:c>
      <x:c r="W182" s="20" t="str"/>
      <x:c r="X182" s="20" t="str"/>
      <x:c r="Y182" s="20" t="str">
        <x:v>Ya</x:v>
      </x:c>
      <x:c r="Z182" s="20" t="str">
        <x:v>Semua</x:v>
      </x:c>
      <x:c r="AA182" s="33" t="n">
        <x:f>IF(L182="","",L182-TODAY())</x:f>
        <x:v>4</x:v>
      </x:c>
      <x:c r="AB182" s="20" t="str">
        <x:f>IF(AND(L182&lt;&gt;"",L182&lt;TODAY(),M182&lt;&gt;"Selesai &amp; Terverifikasi",M182&lt;&gt;"Tidak Berlaku"),"OVERDUE","")</x:f>
      </x:c>
      <x:c r="AC182" s="20" t="n">
        <x:f>IF(J182="Critical",4,IF(J182="High",3,IF(J182="Medium",2,1)))</x:f>
        <x:v>4</x:v>
      </x:c>
      <x:c r="AD182" s="20" t="n">
        <x:f>N182*AC182</x:f>
        <x:v>0</x:v>
      </x:c>
    </x:row>
    <x:row r="183">
      <x:c r="A183" s="20" t="str">
        <x:v>TSK-182</x:v>
      </x:c>
      <x:c r="B183" s="20" t="str">
        <x:v>EVT-GEN</x:v>
      </x:c>
      <x:c r="C183" s="20" t="str">
        <x:v>Seluruh Venue</x:v>
      </x:c>
      <x:c r="D183" s="20" t="str">
        <x:v>EO Coordination</x:v>
      </x:c>
      <x:c r="E183" s="20" t="str">
        <x:v>Finalisasi master schedule EO</x:v>
      </x:c>
      <x:c r="F183" s="20" t="str">
        <x:v>Survey, produksi, mobilisasi, setup, rehearsal dan demobilisasi jelas.</x:v>
      </x:c>
      <x:c r="G183" s="20" t="str">
        <x:v>EO</x:v>
      </x:c>
      <x:c r="H183" s="20" t="str">
        <x:v>EO Coordination</x:v>
      </x:c>
      <x:c r="I183" s="20" t="str">
        <x:v>Heri Afriadi Aka</x:v>
      </x:c>
      <x:c r="J183" s="20" t="str">
        <x:v>Critical</x:v>
      </x:c>
      <x:c r="K183" s="30" t="n">
        <x:v>46230</x:v>
      </x:c>
      <x:c r="L183" s="30" t="n">
        <x:v>46235</x:v>
      </x:c>
      <x:c r="M183" s="20" t="str">
        <x:v>Belum Dimulai</x:v>
      </x:c>
      <x:c r="N183" s="31" t="n">
        <x:v>0</x:v>
      </x:c>
      <x:c r="O183" s="20" t="str">
        <x:f>IF(M183="Selesai &amp; Terverifikasi","Ready",IF(M183="Terkendala","Not Ready",IF(AND(J183="Critical",L183&lt;=TODAY()+3,N183&lt;100),"At Risk","In Progress")))</x:f>
        <x:v>In Progress</x:v>
      </x:c>
      <x:c r="P183" s="20" t="str"/>
      <x:c r="Q183" s="20" t="str"/>
      <x:c r="R183" s="20" t="str"/>
      <x:c r="S183" s="20" t="str">
        <x:v>Initial Setup</x:v>
      </x:c>
      <x:c r="T183" s="32" t="n">
        <x:v>46229.833333333336</x:v>
      </x:c>
      <x:c r="U183" s="20" t="str"/>
      <x:c r="V183" s="20" t="str">
        <x:v>Belum Diverifikasi</x:v>
      </x:c>
      <x:c r="W183" s="20" t="str"/>
      <x:c r="X183" s="20" t="str"/>
      <x:c r="Y183" s="20" t="str">
        <x:v>Ya</x:v>
      </x:c>
      <x:c r="Z183" s="20" t="str">
        <x:v>Semua</x:v>
      </x:c>
      <x:c r="AA183" s="33" t="n">
        <x:f>IF(L183="","",L183-TODAY())</x:f>
        <x:v>6</x:v>
      </x:c>
      <x:c r="AB183" s="20" t="str">
        <x:f>IF(AND(L183&lt;&gt;"",L183&lt;TODAY(),M183&lt;&gt;"Selesai &amp; Terverifikasi",M183&lt;&gt;"Tidak Berlaku"),"OVERDUE","")</x:f>
      </x:c>
      <x:c r="AC183" s="20" t="n">
        <x:f>IF(J183="Critical",4,IF(J183="High",3,IF(J183="Medium",2,1)))</x:f>
        <x:v>4</x:v>
      </x:c>
      <x:c r="AD183" s="20" t="n">
        <x:f>N183*AC183</x:f>
        <x:v>0</x:v>
      </x:c>
    </x:row>
    <x:row r="184">
      <x:c r="A184" s="20" t="str">
        <x:v>TSK-183</x:v>
      </x:c>
      <x:c r="B184" s="20" t="str">
        <x:v>EVT-GEN</x:v>
      </x:c>
      <x:c r="C184" s="20" t="str">
        <x:v>Seluruh Venue</x:v>
      </x:c>
      <x:c r="D184" s="20" t="str">
        <x:v>EO Coordination</x:v>
      </x:c>
      <x:c r="E184" s="20" t="str">
        <x:v>Finalisasi manpower plan EO</x:v>
      </x:c>
      <x:c r="F184" s="20" t="str">
        <x:v>Jumlah dan shift kru per venue mencukupi.</x:v>
      </x:c>
      <x:c r="G184" s="20" t="str">
        <x:v>EO</x:v>
      </x:c>
      <x:c r="H184" s="20" t="str">
        <x:v>EO Coordination</x:v>
      </x:c>
      <x:c r="I184" s="20" t="str">
        <x:v>Heri Afriadi Aka</x:v>
      </x:c>
      <x:c r="J184" s="20" t="str">
        <x:v>High</x:v>
      </x:c>
      <x:c r="K184" s="30" t="n">
        <x:v>46230</x:v>
      </x:c>
      <x:c r="L184" s="30" t="n">
        <x:v>46238</x:v>
      </x:c>
      <x:c r="M184" s="20" t="str">
        <x:v>Belum Dimulai</x:v>
      </x:c>
      <x:c r="N184" s="31" t="n">
        <x:v>0</x:v>
      </x:c>
      <x:c r="O184" s="20" t="str">
        <x:f>IF(M184="Selesai &amp; Terverifikasi","Ready",IF(M184="Terkendala","Not Ready",IF(AND(J184="Critical",L184&lt;=TODAY()+3,N184&lt;100),"At Risk","In Progress")))</x:f>
        <x:v>In Progress</x:v>
      </x:c>
      <x:c r="P184" s="20" t="str"/>
      <x:c r="Q184" s="20" t="str"/>
      <x:c r="R184" s="20" t="str"/>
      <x:c r="S184" s="20" t="str">
        <x:v>Initial Setup</x:v>
      </x:c>
      <x:c r="T184" s="32" t="n">
        <x:v>46229.833333333336</x:v>
      </x:c>
      <x:c r="U184" s="20" t="str"/>
      <x:c r="V184" s="20" t="str">
        <x:v>Belum Diverifikasi</x:v>
      </x:c>
      <x:c r="W184" s="20" t="str"/>
      <x:c r="X184" s="20" t="str"/>
      <x:c r="Y184" s="20" t="str">
        <x:v>Ya</x:v>
      </x:c>
      <x:c r="Z184" s="20" t="str">
        <x:v>Semua</x:v>
      </x:c>
      <x:c r="AA184" s="33" t="n">
        <x:f>IF(L184="","",L184-TODAY())</x:f>
        <x:v>9</x:v>
      </x:c>
      <x:c r="AB184" s="20" t="str">
        <x:f>IF(AND(L184&lt;&gt;"",L184&lt;TODAY(),M184&lt;&gt;"Selesai &amp; Terverifikasi",M184&lt;&gt;"Tidak Berlaku"),"OVERDUE","")</x:f>
      </x:c>
      <x:c r="AC184" s="20" t="n">
        <x:f>IF(J184="Critical",4,IF(J184="High",3,IF(J184="Medium",2,1)))</x:f>
        <x:v>3</x:v>
      </x:c>
      <x:c r="AD184" s="20" t="n">
        <x:f>N184*AC184</x:f>
        <x:v>0</x:v>
      </x:c>
    </x:row>
    <x:row r="185">
      <x:c r="A185" s="20" t="str">
        <x:v>TSK-184</x:v>
      </x:c>
      <x:c r="B185" s="20" t="str">
        <x:v>EVT-GEN</x:v>
      </x:c>
      <x:c r="C185" s="20" t="str">
        <x:v>Seluruh Venue</x:v>
      </x:c>
      <x:c r="D185" s="20" t="str">
        <x:v>EO Coordination</x:v>
      </x:c>
      <x:c r="E185" s="20" t="str">
        <x:v>Finalisasi equipment list EO</x:v>
      </x:c>
      <x:c r="F185" s="20" t="str">
        <x:v>Spesifikasi, jumlah, backup dan ownership tercatat.</x:v>
      </x:c>
      <x:c r="G185" s="20" t="str">
        <x:v>EO</x:v>
      </x:c>
      <x:c r="H185" s="20" t="str">
        <x:v>EO Coordination</x:v>
      </x:c>
      <x:c r="I185" s="20" t="str">
        <x:v>Heri Afriadi Aka</x:v>
      </x:c>
      <x:c r="J185" s="20" t="str">
        <x:v>Critical</x:v>
      </x:c>
      <x:c r="K185" s="30" t="n">
        <x:v>46230</x:v>
      </x:c>
      <x:c r="L185" s="30" t="n">
        <x:v>46237</x:v>
      </x:c>
      <x:c r="M185" s="20" t="str">
        <x:v>Belum Dimulai</x:v>
      </x:c>
      <x:c r="N185" s="31" t="n">
        <x:v>0</x:v>
      </x:c>
      <x:c r="O185" s="20" t="str">
        <x:f>IF(M185="Selesai &amp; Terverifikasi","Ready",IF(M185="Terkendala","Not Ready",IF(AND(J185="Critical",L185&lt;=TODAY()+3,N185&lt;100),"At Risk","In Progress")))</x:f>
        <x:v>In Progress</x:v>
      </x:c>
      <x:c r="P185" s="20" t="str"/>
      <x:c r="Q185" s="20" t="str"/>
      <x:c r="R185" s="20" t="str"/>
      <x:c r="S185" s="20" t="str">
        <x:v>Initial Setup</x:v>
      </x:c>
      <x:c r="T185" s="32" t="n">
        <x:v>46229.833333333336</x:v>
      </x:c>
      <x:c r="U185" s="20" t="str"/>
      <x:c r="V185" s="20" t="str">
        <x:v>Belum Diverifikasi</x:v>
      </x:c>
      <x:c r="W185" s="20" t="str"/>
      <x:c r="X185" s="20" t="str"/>
      <x:c r="Y185" s="20" t="str">
        <x:v>Ya</x:v>
      </x:c>
      <x:c r="Z185" s="20" t="str">
        <x:v>Semua</x:v>
      </x:c>
      <x:c r="AA185" s="33" t="n">
        <x:f>IF(L185="","",L185-TODAY())</x:f>
        <x:v>8</x:v>
      </x:c>
      <x:c r="AB185" s="20" t="str">
        <x:f>IF(AND(L185&lt;&gt;"",L185&lt;TODAY(),M185&lt;&gt;"Selesai &amp; Terverifikasi",M185&lt;&gt;"Tidak Berlaku"),"OVERDUE","")</x:f>
      </x:c>
      <x:c r="AC185" s="20" t="n">
        <x:f>IF(J185="Critical",4,IF(J185="High",3,IF(J185="Medium",2,1)))</x:f>
        <x:v>4</x:v>
      </x:c>
      <x:c r="AD185" s="20" t="n">
        <x:f>N185*AC185</x:f>
        <x:v>0</x:v>
      </x:c>
    </x:row>
    <x:row r="186">
      <x:c r="A186" s="20" t="str">
        <x:v>TSK-185</x:v>
      </x:c>
      <x:c r="B186" s="20" t="str">
        <x:v>EVT-GEN</x:v>
      </x:c>
      <x:c r="C186" s="20" t="str">
        <x:v>Seluruh Venue</x:v>
      </x:c>
      <x:c r="D186" s="20" t="str">
        <x:v>EO Coordination</x:v>
      </x:c>
      <x:c r="E186" s="20" t="str">
        <x:v>Finalisasi logistics and delivery plan</x:v>
      </x:c>
      <x:c r="F186" s="20" t="str">
        <x:v>Jadwal masuk barang, akses, storage dan demobilisasi disetujui.</x:v>
      </x:c>
      <x:c r="G186" s="20" t="str">
        <x:v>EO</x:v>
      </x:c>
      <x:c r="H186" s="20" t="str">
        <x:v>EO Coordination</x:v>
      </x:c>
      <x:c r="I186" s="20" t="str">
        <x:v>Heri Afriadi Aka</x:v>
      </x:c>
      <x:c r="J186" s="20" t="str">
        <x:v>High</x:v>
      </x:c>
      <x:c r="K186" s="30" t="n">
        <x:v>46230</x:v>
      </x:c>
      <x:c r="L186" s="30" t="n">
        <x:v>46238</x:v>
      </x:c>
      <x:c r="M186" s="20" t="str">
        <x:v>Belum Dimulai</x:v>
      </x:c>
      <x:c r="N186" s="31" t="n">
        <x:v>0</x:v>
      </x:c>
      <x:c r="O186" s="20" t="str">
        <x:f>IF(M186="Selesai &amp; Terverifikasi","Ready",IF(M186="Terkendala","Not Ready",IF(AND(J186="Critical",L186&lt;=TODAY()+3,N186&lt;100),"At Risk","In Progress")))</x:f>
        <x:v>In Progress</x:v>
      </x:c>
      <x:c r="P186" s="20" t="str"/>
      <x:c r="Q186" s="20" t="str"/>
      <x:c r="R186" s="20" t="str"/>
      <x:c r="S186" s="20" t="str">
        <x:v>Initial Setup</x:v>
      </x:c>
      <x:c r="T186" s="32" t="n">
        <x:v>46229.833333333336</x:v>
      </x:c>
      <x:c r="U186" s="20" t="str"/>
      <x:c r="V186" s="20" t="str">
        <x:v>Belum Diverifikasi</x:v>
      </x:c>
      <x:c r="W186" s="20" t="str"/>
      <x:c r="X186" s="20" t="str"/>
      <x:c r="Y186" s="20" t="str">
        <x:v>Ya</x:v>
      </x:c>
      <x:c r="Z186" s="20" t="str">
        <x:v>Semua</x:v>
      </x:c>
      <x:c r="AA186" s="33" t="n">
        <x:f>IF(L186="","",L186-TODAY())</x:f>
        <x:v>9</x:v>
      </x:c>
      <x:c r="AB186" s="20" t="str">
        <x:f>IF(AND(L186&lt;&gt;"",L186&lt;TODAY(),M186&lt;&gt;"Selesai &amp; Terverifikasi",M186&lt;&gt;"Tidak Berlaku"),"OVERDUE","")</x:f>
      </x:c>
      <x:c r="AC186" s="20" t="n">
        <x:f>IF(J186="Critical",4,IF(J186="High",3,IF(J186="Medium",2,1)))</x:f>
        <x:v>3</x:v>
      </x:c>
      <x:c r="AD186" s="20" t="n">
        <x:f>N186*AC186</x:f>
        <x:v>0</x:v>
      </x:c>
    </x:row>
    <x:row r="187">
      <x:c r="A187" s="20" t="str">
        <x:v>TSK-186</x:v>
      </x:c>
      <x:c r="B187" s="20" t="str">
        <x:v>EVT-GEN</x:v>
      </x:c>
      <x:c r="C187" s="20" t="str">
        <x:v>Seluruh Venue</x:v>
      </x:c>
      <x:c r="D187" s="20" t="str">
        <x:v>EO Coordination</x:v>
      </x:c>
      <x:c r="E187" s="20" t="str">
        <x:v>Review HSE method statement EO</x:v>
      </x:c>
      <x:c r="F187" s="20" t="str">
        <x:v>Pekerjaan tenda, listrik, rigging dan venue conversion disetujui.</x:v>
      </x:c>
      <x:c r="G187" s="20" t="str">
        <x:v>EO</x:v>
      </x:c>
      <x:c r="H187" s="20" t="str">
        <x:v>EO Coordination</x:v>
      </x:c>
      <x:c r="I187" s="20" t="str">
        <x:v>Heri Afriadi Aka</x:v>
      </x:c>
      <x:c r="J187" s="20" t="str">
        <x:v>Critical</x:v>
      </x:c>
      <x:c r="K187" s="30" t="n">
        <x:v>46230</x:v>
      </x:c>
      <x:c r="L187" s="30" t="n">
        <x:v>46238</x:v>
      </x:c>
      <x:c r="M187" s="20" t="str">
        <x:v>Belum Dimulai</x:v>
      </x:c>
      <x:c r="N187" s="31" t="n">
        <x:v>0</x:v>
      </x:c>
      <x:c r="O187" s="20" t="str">
        <x:f>IF(M187="Selesai &amp; Terverifikasi","Ready",IF(M187="Terkendala","Not Ready",IF(AND(J187="Critical",L187&lt;=TODAY()+3,N187&lt;100),"At Risk","In Progress")))</x:f>
        <x:v>In Progress</x:v>
      </x:c>
      <x:c r="P187" s="20" t="str"/>
      <x:c r="Q187" s="20" t="str"/>
      <x:c r="R187" s="20" t="str"/>
      <x:c r="S187" s="20" t="str">
        <x:v>Initial Setup</x:v>
      </x:c>
      <x:c r="T187" s="32" t="n">
        <x:v>46229.833333333336</x:v>
      </x:c>
      <x:c r="U187" s="20" t="str"/>
      <x:c r="V187" s="20" t="str">
        <x:v>Belum Diverifikasi</x:v>
      </x:c>
      <x:c r="W187" s="20" t="str"/>
      <x:c r="X187" s="20" t="str"/>
      <x:c r="Y187" s="20" t="str">
        <x:v>Ya</x:v>
      </x:c>
      <x:c r="Z187" s="20" t="str">
        <x:v>Semua</x:v>
      </x:c>
      <x:c r="AA187" s="33" t="n">
        <x:f>IF(L187="","",L187-TODAY())</x:f>
        <x:v>9</x:v>
      </x:c>
      <x:c r="AB187" s="20" t="str">
        <x:f>IF(AND(L187&lt;&gt;"",L187&lt;TODAY(),M187&lt;&gt;"Selesai &amp; Terverifikasi",M187&lt;&gt;"Tidak Berlaku"),"OVERDUE","")</x:f>
      </x:c>
      <x:c r="AC187" s="20" t="n">
        <x:f>IF(J187="Critical",4,IF(J187="High",3,IF(J187="Medium",2,1)))</x:f>
        <x:v>4</x:v>
      </x:c>
      <x:c r="AD187" s="20" t="n">
        <x:f>N187*AC187</x:f>
        <x:v>0</x:v>
      </x:c>
    </x:row>
    <x:row r="188">
      <x:c r="A188" s="20" t="str">
        <x:v>TSK-187</x:v>
      </x:c>
      <x:c r="B188" s="20" t="str">
        <x:v>EVT-GEN</x:v>
      </x:c>
      <x:c r="C188" s="20" t="str">
        <x:v>Seluruh Venue</x:v>
      </x:c>
      <x:c r="D188" s="20" t="str">
        <x:v>EO Coordination</x:v>
      </x:c>
      <x:c r="E188" s="20" t="str">
        <x:v>Konfirmasi insurance dan compliance vendor</x:v>
      </x:c>
      <x:c r="F188" s="20" t="str">
        <x:v>Dokumen asuransi/izin yang diperlukan tersedia.</x:v>
      </x:c>
      <x:c r="G188" s="20" t="str">
        <x:v>EO</x:v>
      </x:c>
      <x:c r="H188" s="20" t="str">
        <x:v>EO Coordination</x:v>
      </x:c>
      <x:c r="I188" s="20" t="str">
        <x:v>Heri Afriadi Aka</x:v>
      </x:c>
      <x:c r="J188" s="20" t="str">
        <x:v>High</x:v>
      </x:c>
      <x:c r="K188" s="30" t="n">
        <x:v>46230</x:v>
      </x:c>
      <x:c r="L188" s="30" t="n">
        <x:v>46239</x:v>
      </x:c>
      <x:c r="M188" s="20" t="str">
        <x:v>Belum Dimulai</x:v>
      </x:c>
      <x:c r="N188" s="31" t="n">
        <x:v>0</x:v>
      </x:c>
      <x:c r="O188" s="20" t="str">
        <x:f>IF(M188="Selesai &amp; Terverifikasi","Ready",IF(M188="Terkendala","Not Ready",IF(AND(J188="Critical",L188&lt;=TODAY()+3,N188&lt;100),"At Risk","In Progress")))</x:f>
        <x:v>In Progress</x:v>
      </x:c>
      <x:c r="P188" s="20" t="str"/>
      <x:c r="Q188" s="20" t="str"/>
      <x:c r="R188" s="20" t="str"/>
      <x:c r="S188" s="20" t="str">
        <x:v>Initial Setup</x:v>
      </x:c>
      <x:c r="T188" s="32" t="n">
        <x:v>46229.833333333336</x:v>
      </x:c>
      <x:c r="U188" s="20" t="str"/>
      <x:c r="V188" s="20" t="str">
        <x:v>Belum Diverifikasi</x:v>
      </x:c>
      <x:c r="W188" s="20" t="str"/>
      <x:c r="X188" s="20" t="str"/>
      <x:c r="Y188" s="20" t="str">
        <x:v>Ya</x:v>
      </x:c>
      <x:c r="Z188" s="20" t="str">
        <x:v>Semua</x:v>
      </x:c>
      <x:c r="AA188" s="33" t="n">
        <x:f>IF(L188="","",L188-TODAY())</x:f>
        <x:v>10</x:v>
      </x:c>
      <x:c r="AB188" s="20" t="str">
        <x:f>IF(AND(L188&lt;&gt;"",L188&lt;TODAY(),M188&lt;&gt;"Selesai &amp; Terverifikasi",M188&lt;&gt;"Tidak Berlaku"),"OVERDUE","")</x:f>
      </x:c>
      <x:c r="AC188" s="20" t="n">
        <x:f>IF(J188="Critical",4,IF(J188="High",3,IF(J188="Medium",2,1)))</x:f>
        <x:v>3</x:v>
      </x:c>
      <x:c r="AD188" s="20" t="n">
        <x:f>N188*AC188</x:f>
        <x:v>0</x:v>
      </x:c>
    </x:row>
    <x:row r="189">
      <x:c r="A189" s="20" t="str">
        <x:v>TSK-188</x:v>
      </x:c>
      <x:c r="B189" s="20" t="str">
        <x:v>EVT-GEN</x:v>
      </x:c>
      <x:c r="C189" s="20" t="str">
        <x:v>Seluruh Venue</x:v>
      </x:c>
      <x:c r="D189" s="20" t="str">
        <x:v>EO Coordination</x:v>
      </x:c>
      <x:c r="E189" s="20" t="str">
        <x:v>Lakukan joint site survey final</x:v>
      </x:c>
      <x:c r="F189" s="20" t="str">
        <x:v>Semua venue, akses, power dan storage diperiksa.</x:v>
      </x:c>
      <x:c r="G189" s="20" t="str">
        <x:v>EO</x:v>
      </x:c>
      <x:c r="H189" s="20" t="str">
        <x:v>EO Coordination</x:v>
      </x:c>
      <x:c r="I189" s="20" t="str">
        <x:v>Heri Afriadi Aka</x:v>
      </x:c>
      <x:c r="J189" s="20" t="str">
        <x:v>Critical</x:v>
      </x:c>
      <x:c r="K189" s="30" t="n">
        <x:v>46230</x:v>
      </x:c>
      <x:c r="L189" s="30" t="n">
        <x:v>46239</x:v>
      </x:c>
      <x:c r="M189" s="20" t="str">
        <x:v>Belum Dimulai</x:v>
      </x:c>
      <x:c r="N189" s="31" t="n">
        <x:v>0</x:v>
      </x:c>
      <x:c r="O189" s="20" t="str">
        <x:f>IF(M189="Selesai &amp; Terverifikasi","Ready",IF(M189="Terkendala","Not Ready",IF(AND(J189="Critical",L189&lt;=TODAY()+3,N189&lt;100),"At Risk","In Progress")))</x:f>
        <x:v>In Progress</x:v>
      </x:c>
      <x:c r="P189" s="20" t="str"/>
      <x:c r="Q189" s="20" t="str"/>
      <x:c r="R189" s="20" t="str"/>
      <x:c r="S189" s="20" t="str">
        <x:v>Initial Setup</x:v>
      </x:c>
      <x:c r="T189" s="32" t="n">
        <x:v>46229.833333333336</x:v>
      </x:c>
      <x:c r="U189" s="20" t="str"/>
      <x:c r="V189" s="20" t="str">
        <x:v>Belum Diverifikasi</x:v>
      </x:c>
      <x:c r="W189" s="20" t="str"/>
      <x:c r="X189" s="20" t="str"/>
      <x:c r="Y189" s="20" t="str">
        <x:v>Ya</x:v>
      </x:c>
      <x:c r="Z189" s="20" t="str">
        <x:v>Semua</x:v>
      </x:c>
      <x:c r="AA189" s="33" t="n">
        <x:f>IF(L189="","",L189-TODAY())</x:f>
        <x:v>10</x:v>
      </x:c>
      <x:c r="AB189" s="20" t="str">
        <x:f>IF(AND(L189&lt;&gt;"",L189&lt;TODAY(),M189&lt;&gt;"Selesai &amp; Terverifikasi",M189&lt;&gt;"Tidak Berlaku"),"OVERDUE","")</x:f>
      </x:c>
      <x:c r="AC189" s="20" t="n">
        <x:f>IF(J189="Critical",4,IF(J189="High",3,IF(J189="Medium",2,1)))</x:f>
        <x:v>4</x:v>
      </x:c>
      <x:c r="AD189" s="20" t="n">
        <x:f>N189*AC189</x:f>
        <x:v>0</x:v>
      </x:c>
    </x:row>
    <x:row r="190">
      <x:c r="A190" s="20" t="str">
        <x:v>TSK-189</x:v>
      </x:c>
      <x:c r="B190" s="20" t="str">
        <x:v>EVT-GEN</x:v>
      </x:c>
      <x:c r="C190" s="20" t="str">
        <x:v>Seluruh Venue</x:v>
      </x:c>
      <x:c r="D190" s="20" t="str">
        <x:v>EO Coordination</x:v>
      </x:c>
      <x:c r="E190" s="20" t="str">
        <x:v>Susun punch list dan acceptance form</x:v>
      </x:c>
      <x:c r="F190" s="20" t="str">
        <x:v>Kriteria penerimaan dan penutupan defect jelas.</x:v>
      </x:c>
      <x:c r="G190" s="20" t="str">
        <x:v>EO</x:v>
      </x:c>
      <x:c r="H190" s="20" t="str">
        <x:v>EO Coordination</x:v>
      </x:c>
      <x:c r="I190" s="20" t="str">
        <x:v>Heri Afriadi Aka</x:v>
      </x:c>
      <x:c r="J190" s="20" t="str">
        <x:v>High</x:v>
      </x:c>
      <x:c r="K190" s="30" t="n">
        <x:v>46230</x:v>
      </x:c>
      <x:c r="L190" s="30" t="n">
        <x:v>46240</x:v>
      </x:c>
      <x:c r="M190" s="20" t="str">
        <x:v>Belum Dimulai</x:v>
      </x:c>
      <x:c r="N190" s="31" t="n">
        <x:v>0</x:v>
      </x:c>
      <x:c r="O190" s="20" t="str">
        <x:f>IF(M190="Selesai &amp; Terverifikasi","Ready",IF(M190="Terkendala","Not Ready",IF(AND(J190="Critical",L190&lt;=TODAY()+3,N190&lt;100),"At Risk","In Progress")))</x:f>
        <x:v>In Progress</x:v>
      </x:c>
      <x:c r="P190" s="20" t="str"/>
      <x:c r="Q190" s="20" t="str"/>
      <x:c r="R190" s="20" t="str"/>
      <x:c r="S190" s="20" t="str">
        <x:v>Initial Setup</x:v>
      </x:c>
      <x:c r="T190" s="32" t="n">
        <x:v>46229.833333333336</x:v>
      </x:c>
      <x:c r="U190" s="20" t="str"/>
      <x:c r="V190" s="20" t="str">
        <x:v>Belum Diverifikasi</x:v>
      </x:c>
      <x:c r="W190" s="20" t="str"/>
      <x:c r="X190" s="20" t="str"/>
      <x:c r="Y190" s="20" t="str">
        <x:v>Ya</x:v>
      </x:c>
      <x:c r="Z190" s="20" t="str">
        <x:v>Semua</x:v>
      </x:c>
      <x:c r="AA190" s="33" t="n">
        <x:f>IF(L190="","",L190-TODAY())</x:f>
        <x:v>11</x:v>
      </x:c>
      <x:c r="AB190" s="20" t="str">
        <x:f>IF(AND(L190&lt;&gt;"",L190&lt;TODAY(),M190&lt;&gt;"Selesai &amp; Terverifikasi",M190&lt;&gt;"Tidak Berlaku"),"OVERDUE","")</x:f>
      </x:c>
      <x:c r="AC190" s="20" t="n">
        <x:f>IF(J190="Critical",4,IF(J190="High",3,IF(J190="Medium",2,1)))</x:f>
        <x:v>3</x:v>
      </x:c>
      <x:c r="AD190" s="20" t="n">
        <x:f>N190*AC190</x:f>
        <x:v>0</x:v>
      </x:c>
    </x:row>
    <x:row r="191">
      <x:c r="A191" s="20" t="str">
        <x:v>TSK-190</x:v>
      </x:c>
      <x:c r="B191" s="20" t="str">
        <x:v>EVT-GEN</x:v>
      </x:c>
      <x:c r="C191" s="20" t="str">
        <x:v>Seluruh Venue</x:v>
      </x:c>
      <x:c r="D191" s="20" t="str">
        <x:v>EO Coordination</x:v>
      </x:c>
      <x:c r="E191" s="20" t="str">
        <x:v>Handover setup tiap venue</x:v>
      </x:c>
      <x:c r="F191" s="20" t="str">
        <x:v>Berita acara, checklist dan foto tersedia.</x:v>
      </x:c>
      <x:c r="G191" s="20" t="str">
        <x:v>EO</x:v>
      </x:c>
      <x:c r="H191" s="20" t="str">
        <x:v>EO Coordination</x:v>
      </x:c>
      <x:c r="I191" s="20" t="str">
        <x:v>Heri Afriadi Aka</x:v>
      </x:c>
      <x:c r="J191" s="20" t="str">
        <x:v>Critical</x:v>
      </x:c>
      <x:c r="K191" s="30" t="n">
        <x:v>46230</x:v>
      </x:c>
      <x:c r="L191" s="30" t="n">
        <x:v>46243</x:v>
      </x:c>
      <x:c r="M191" s="20" t="str">
        <x:v>Belum Dimulai</x:v>
      </x:c>
      <x:c r="N191" s="31" t="n">
        <x:v>0</x:v>
      </x:c>
      <x:c r="O191" s="20" t="str">
        <x:f>IF(M191="Selesai &amp; Terverifikasi","Ready",IF(M191="Terkendala","Not Ready",IF(AND(J191="Critical",L191&lt;=TODAY()+3,N191&lt;100),"At Risk","In Progress")))</x:f>
        <x:v>In Progress</x:v>
      </x:c>
      <x:c r="P191" s="20" t="str"/>
      <x:c r="Q191" s="20" t="str"/>
      <x:c r="R191" s="20" t="str"/>
      <x:c r="S191" s="20" t="str">
        <x:v>Initial Setup</x:v>
      </x:c>
      <x:c r="T191" s="32" t="n">
        <x:v>46229.833333333336</x:v>
      </x:c>
      <x:c r="U191" s="20" t="str"/>
      <x:c r="V191" s="20" t="str">
        <x:v>Belum Diverifikasi</x:v>
      </x:c>
      <x:c r="W191" s="20" t="str"/>
      <x:c r="X191" s="20" t="str"/>
      <x:c r="Y191" s="20" t="str">
        <x:v>Ya</x:v>
      </x:c>
      <x:c r="Z191" s="20" t="str">
        <x:v>Semua</x:v>
      </x:c>
      <x:c r="AA191" s="33" t="n">
        <x:f>IF(L191="","",L191-TODAY())</x:f>
        <x:v>14</x:v>
      </x:c>
      <x:c r="AB191" s="20" t="str">
        <x:f>IF(AND(L191&lt;&gt;"",L191&lt;TODAY(),M191&lt;&gt;"Selesai &amp; Terverifikasi",M191&lt;&gt;"Tidak Berlaku"),"OVERDUE","")</x:f>
      </x:c>
      <x:c r="AC191" s="20" t="n">
        <x:f>IF(J191="Critical",4,IF(J191="High",3,IF(J191="Medium",2,1)))</x:f>
        <x:v>4</x:v>
      </x:c>
      <x:c r="AD191" s="20" t="n">
        <x:f>N191*AC191</x:f>
        <x:v>0</x:v>
      </x:c>
    </x:row>
    <x:row r="192">
      <x:c r="A192" s="20" t="str">
        <x:v>TSK-191</x:v>
      </x:c>
      <x:c r="B192" s="20" t="str">
        <x:v>EVT-GEN</x:v>
      </x:c>
      <x:c r="C192" s="20" t="str">
        <x:v>Seluruh Venue</x:v>
      </x:c>
      <x:c r="D192" s="20" t="str">
        <x:v>EO Coordination</x:v>
      </x:c>
      <x:c r="E192" s="20" t="str">
        <x:v>Demobilisasi dan restoration plan</x:v>
      </x:c>
      <x:c r="F192" s="20" t="str">
        <x:v>Area dikembalikan aman dan bersih setelah acara.</x:v>
      </x:c>
      <x:c r="G192" s="20" t="str">
        <x:v>EO</x:v>
      </x:c>
      <x:c r="H192" s="20" t="str">
        <x:v>EO Coordination</x:v>
      </x:c>
      <x:c r="I192" s="20" t="str">
        <x:v>Heri Afriadi Aka</x:v>
      </x:c>
      <x:c r="J192" s="20" t="str">
        <x:v>High</x:v>
      </x:c>
      <x:c r="K192" s="30" t="n">
        <x:v>46230</x:v>
      </x:c>
      <x:c r="L192" s="30" t="n">
        <x:v>46242</x:v>
      </x:c>
      <x:c r="M192" s="20" t="str">
        <x:v>Belum Dimulai</x:v>
      </x:c>
      <x:c r="N192" s="31" t="n">
        <x:v>0</x:v>
      </x:c>
      <x:c r="O192" s="20" t="str">
        <x:f>IF(M192="Selesai &amp; Terverifikasi","Ready",IF(M192="Terkendala","Not Ready",IF(AND(J192="Critical",L192&lt;=TODAY()+3,N192&lt;100),"At Risk","In Progress")))</x:f>
        <x:v>In Progress</x:v>
      </x:c>
      <x:c r="P192" s="20" t="str"/>
      <x:c r="Q192" s="20" t="str"/>
      <x:c r="R192" s="20" t="str"/>
      <x:c r="S192" s="20" t="str">
        <x:v>Initial Setup</x:v>
      </x:c>
      <x:c r="T192" s="32" t="n">
        <x:v>46229.833333333336</x:v>
      </x:c>
      <x:c r="U192" s="20" t="str"/>
      <x:c r="V192" s="20" t="str">
        <x:v>Belum Diverifikasi</x:v>
      </x:c>
      <x:c r="W192" s="20" t="str"/>
      <x:c r="X192" s="20" t="str"/>
      <x:c r="Y192" s="20" t="str">
        <x:v>Ya</x:v>
      </x:c>
      <x:c r="Z192" s="20" t="str">
        <x:v>Semua</x:v>
      </x:c>
      <x:c r="AA192" s="33" t="n">
        <x:f>IF(L192="","",L192-TODAY())</x:f>
        <x:v>13</x:v>
      </x:c>
      <x:c r="AB192" s="20" t="str">
        <x:f>IF(AND(L192&lt;&gt;"",L192&lt;TODAY(),M192&lt;&gt;"Selesai &amp; Terverifikasi",M192&lt;&gt;"Tidak Berlaku"),"OVERDUE","")</x:f>
      </x:c>
      <x:c r="AC192" s="20" t="n">
        <x:f>IF(J192="Critical",4,IF(J192="High",3,IF(J192="Medium",2,1)))</x:f>
        <x:v>3</x:v>
      </x:c>
      <x:c r="AD192" s="20" t="n">
        <x:f>N192*AC192</x:f>
        <x:v>0</x:v>
      </x:c>
    </x:row>
  </x:sheetData>
  <x:conditionalFormatting sqref="N2:N192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{D3FEBDF3-97C0-E2F7-8E1E-32490D227D16}</x14:id>
        </x:ext>
      </x:extLst>
    </x:cfRule>
  </x:conditionalFormatting>
  <x:conditionalFormatting sqref="AB2:AB192">
    <x:cfRule type="expression" dxfId="0" priority="2">
      <x:formula>AB2="OVERDUE"</x:formula>
    </x:cfRule>
  </x:conditionalFormatting>
  <x:conditionalFormatting sqref="M2:M192">
    <x:cfRule type="expression" dxfId="1" priority="3">
      <x:formula>M2="Selesai &amp; Terverifikasi"</x:formula>
    </x:cfRule>
    <x:cfRule type="expression" dxfId="2" priority="4">
      <x:formula>M2="Terkendala"</x:formula>
    </x:cfRule>
    <x:cfRule type="expression" dxfId="3" priority="5">
      <x:formula>M2="Menunggu Pihak Lain"</x:formula>
    </x:cfRule>
  </x:conditionalFormatting>
  <x:conditionalFormatting sqref="O2:O192">
    <x:cfRule type="expression" dxfId="4" priority="6">
      <x:formula>O2="Ready"</x:formula>
    </x:cfRule>
    <x:cfRule type="expression" dxfId="5" priority="7">
      <x:formula>O2="At Risk"</x:formula>
    </x:cfRule>
    <x:cfRule type="expression" dxfId="6" priority="8">
      <x:formula>O2="Not Ready"</x:formula>
    </x:cfRule>
  </x:conditionalFormatting>
  <x:dataValidations count="9">
    <x:dataValidation type="list" sqref="G2:G500">
      <x:formula1>Lists_Settings!$F$3:$F$7</x:formula1>
    </x:dataValidation>
    <x:dataValidation type="list" sqref="I2:I500">
      <x:formula1>People_Master!$B$2:$B$191</x:formula1>
    </x:dataValidation>
    <x:dataValidation type="list" sqref="J2:J500">
      <x:formula1>Lists_Settings!$E$3:$E$6</x:formula1>
    </x:dataValidation>
    <x:dataValidation type="list" sqref="M2:M500">
      <x:formula1>Lists_Settings!$D$3:$D$9</x:formula1>
    </x:dataValidation>
    <x:dataValidation type="decimal" operator="between" sqref="N2:N500">
      <x:formula1>0</x:formula1>
      <x:formula2>100</x:formula2>
    </x:dataValidation>
    <x:dataValidation type="list" sqref="S2:S500">
      <x:formula1>Lists_Settings!$J$3:$J$8</x:formula1>
    </x:dataValidation>
    <x:dataValidation type="list" sqref="V2:V500">
      <x:formula1>Lists_Settings!$G$3:$G$6</x:formula1>
    </x:dataValidation>
    <x:dataValidation type="list" sqref="Y2:Y500">
      <x:formula1>Lists_Settings!$H$3:$H$4</x:formula1>
    </x:dataValidation>
    <x:dataValidation type="list" sqref="Z2:Z500">
      <x:formula1>Lists_Settings!$I$3:$I$7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2ee9ddd02f4e7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FEBDF3-97C0-E2F7-8E1E-32490D227D16}">
            <x14:dataBar gradient="1">
              <x14:cfvo type="min"/>
              <x14:cfvo type="max"/>
              <x14:fillColor rgb="FF3B82F6"/>
            </x14:dataBar>
          </x14:cfRule>
          <xm:sqref>N2:N192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14" hidden="0" customWidth="1"/>
    <x:col min="5" max="5" width="14" hidden="0" customWidth="1"/>
    <x:col min="6" max="6" width="30" hidden="0" customWidth="1"/>
    <x:col min="7" max="7" width="12" hidden="0" customWidth="1"/>
    <x:col min="8" max="8" width="45" hidden="0" customWidth="1"/>
  </x:cols>
  <x:sheetData>
    <x:row r="1" ht="30" customHeight="1">
      <x:c r="A1" s="14" t="str">
        <x:v>Event ID</x:v>
      </x:c>
      <x:c r="B1" s="14" t="str">
        <x:v>Event Name</x:v>
      </x:c>
      <x:c r="C1" s="14" t="str">
        <x:v>Venue</x:v>
      </x:c>
      <x:c r="D1" s="14" t="str">
        <x:v>Start Date</x:v>
      </x:c>
      <x:c r="E1" s="14" t="str">
        <x:v>End Date</x:v>
      </x:c>
      <x:c r="F1" s="14" t="str">
        <x:v>Participant / Capacity</x:v>
      </x:c>
      <x:c r="G1" s="14" t="str">
        <x:v>Status</x:v>
      </x:c>
      <x:c r="H1" s="14" t="str">
        <x:v>Notes</x:v>
      </x:c>
    </x:row>
    <x:row r="2">
      <x:c r="A2" s="20" t="str">
        <x:v>EVT-GEN</x:v>
      </x:c>
      <x:c r="B2" s="20" t="str">
        <x:v>Umum / Koordinasi</x:v>
      </x:c>
      <x:c r="C2" s="20" t="str"/>
      <x:c r="D2" s="30" t="n">
        <x:v>46244</x:v>
      </x:c>
      <x:c r="E2" s="30" t="n">
        <x:v>46246</x:v>
      </x:c>
      <x:c r="F2" s="20" t="str">
        <x:v>Rangkaian keseluruhan</x:v>
      </x:c>
      <x:c r="G2" s="20" t="str">
        <x:v>Aktif</x:v>
      </x:c>
      <x:c r="H2" s="20" t="str">
        <x:v>Persiapan lintas bidang dan keputusan manajemen.</x:v>
      </x:c>
    </x:row>
    <x:row r="3">
      <x:c r="A3" s="20" t="str">
        <x:v>EVT-RAKOR</x:v>
      </x:c>
      <x:c r="B3" s="20" t="str">
        <x:v>Rakor Direktur Utama PI Group</x:v>
      </x:c>
      <x:c r="C3" s="20" t="str">
        <x:v>Ruang Keupula</x:v>
      </x:c>
      <x:c r="D3" s="30" t="n">
        <x:v>46244</x:v>
      </x:c>
      <x:c r="E3" s="30" t="n">
        <x:v>46246</x:v>
      </x:c>
      <x:c r="F3" s="20" t="str">
        <x:v>±10 Direktur Utama</x:v>
      </x:c>
      <x:c r="G3" s="20" t="str">
        <x:v>Aktif</x:v>
      </x:c>
      <x:c r="H3" s="20" t="str">
        <x:v>Jadwal bergantung skenario.</x:v>
      </x:c>
    </x:row>
    <x:row r="4">
      <x:c r="A4" s="20" t="str">
        <x:v>EVT-PLENARY</x:v>
      </x:c>
      <x:c r="B4" s="20" t="str">
        <x:v>Plenary Session</x:v>
      </x:c>
      <x:c r="C4" s="20" t="str">
        <x:v>Gedung Pertemuan</x:v>
      </x:c>
      <x:c r="D4" s="30" t="n">
        <x:v>46245</x:v>
      </x:c>
      <x:c r="E4" s="30" t="n">
        <x:v>46245</x:v>
      </x:c>
      <x:c r="F4" s="20" t="str">
        <x:v>Kapasitas referensi 446 kursi</x:v>
      </x:c>
      <x:c r="G4" s="20" t="str">
        <x:v>Aktif</x:v>
      </x:c>
      <x:c r="H4" s="20" t="str">
        <x:v>Berbagi venue dengan Olimpiade Badminton.</x:v>
      </x:c>
    </x:row>
    <x:row r="5">
      <x:c r="A5" s="20" t="str">
        <x:v>EVT-RAKER</x:v>
      </x:c>
      <x:c r="B5" s="20" t="str">
        <x:v>Raker RKAP 2027 PI Group</x:v>
      </x:c>
      <x:c r="C5" s="20" t="str">
        <x:v>Tenda di sebelah Gedung Pertemuan</x:v>
      </x:c>
      <x:c r="D5" s="30" t="n">
        <x:v>46245</x:v>
      </x:c>
      <x:c r="E5" s="30" t="n">
        <x:v>46245</x:v>
      </x:c>
      <x:c r="F5" s="20" t="str">
        <x:v>Tenda Roder ±2.000 m²</x:v>
      </x:c>
      <x:c r="G5" s="20" t="str">
        <x:v>Aktif</x:v>
      </x:c>
      <x:c r="H5" s="20" t="str">
        <x:v>Layout final oleh EO masih TBC.</x:v>
      </x:c>
    </x:row>
    <x:row r="6">
      <x:c r="A6" s="20" t="str">
        <x:v>EVT-KONS</x:v>
      </x:c>
      <x:c r="B6" s="20" t="str">
        <x:v>Rapat Konsultasi &amp; Pengawasan</x:v>
      </x:c>
      <x:c r="C6" s="20" t="str">
        <x:v>Ruang Teuku Umar</x:v>
      </x:c>
      <x:c r="D6" s="30" t="n">
        <x:v>46245</x:v>
      </x:c>
      <x:c r="E6" s="30" t="n">
        <x:v>46245</x:v>
      </x:c>
      <x:c r="F6" s="20" t="str">
        <x:v>3 batch; puncak ±40 peserta</x:v>
      </x:c>
      <x:c r="G6" s="20" t="str">
        <x:v>Aktif</x:v>
      </x:c>
      <x:c r="H6" s="20" t="str">
        <x:v>Paralel dengan Raker RKAP.</x:v>
      </x:c>
    </x:row>
    <x:row r="7">
      <x:c r="A7" s="20" t="str">
        <x:v>EVT-OLIM</x:v>
      </x:c>
      <x:c r="B7" s="20" t="str">
        <x:v>Olimpiade Badminton PI Group</x:v>
      </x:c>
      <x:c r="C7" s="20" t="str">
        <x:v>Gedung Pertemuan</x:v>
      </x:c>
      <x:c r="D7" s="30" t="n">
        <x:v>46245</x:v>
      </x:c>
      <x:c r="E7" s="30" t="n">
        <x:v>46245</x:v>
      </x:c>
      <x:c r="F7" s="20" t="str">
        <x:v>Final badminton dan acara pendukung</x:v>
      </x:c>
      <x:c r="G7" s="20" t="str">
        <x:v>Aktif</x:v>
      </x:c>
      <x:c r="H7" s="20" t="str">
        <x:v>Memerlukan konversi venue dari/ke Plenary.</x:v>
      </x:c>
    </x:row>
    <x:row r="8">
      <x:c r="A8" s="20" t="str">
        <x:v>EVT-DINNER</x:v>
      </x:c>
      <x:c r="B8" s="20" t="str">
        <x:v>Welcoming Dinner</x:v>
      </x:c>
      <x:c r="C8" s="20" t="str">
        <x:v>Tenda Raja Lanang</x:v>
      </x:c>
      <x:c r="D8" s="30" t="n">
        <x:v>46244</x:v>
      </x:c>
      <x:c r="E8" s="30" t="n">
        <x:v>46244</x:v>
      </x:c>
      <x:c r="F8" s="20" t="str">
        <x:v>Tamu undangan dan VIP sesuai rundown</x:v>
      </x:c>
      <x:c r="G8" s="20" t="str">
        <x:v>Aktif</x:v>
      </x:c>
      <x:c r="H8" s="20" t="str"/>
    </x:row>
    <x:row r="9">
      <x:c r="A9" s="20" t="str">
        <x:v>EVT-ISHOMA</x:v>
      </x:c>
      <x:c r="B9" s="20" t="str">
        <x:v>Ishoma &amp; Dinner</x:v>
      </x:c>
      <x:c r="C9" s="20" t="str">
        <x:v>Tenda Makan di Gedung Pertemuan</x:v>
      </x:c>
      <x:c r="D9" s="30" t="n">
        <x:v>46245</x:v>
      </x:c>
      <x:c r="E9" s="30" t="n">
        <x:v>46245</x:v>
      </x:c>
      <x:c r="F9" s="20" t="str">
        <x:v>Pendukung kegiatan Selasa</x:v>
      </x:c>
      <x:c r="G9" s="20" t="str">
        <x:v>Aktif</x:v>
      </x:c>
      <x:c r="H9" s="20" t="str"/>
    </x:row>
    <x:row r="10">
      <x:c r="A10" s="20" t="str">
        <x:v>EVT-TRANS</x:v>
      </x:c>
      <x:c r="B10" s="20" t="str">
        <x:v>Transportasi &amp; Flight</x:v>
      </x:c>
      <x:c r="C10" s="20" t="str">
        <x:v>Bandara / Rute Lokal</x:v>
      </x:c>
      <x:c r="D10" s="30" t="n">
        <x:v>46244</x:v>
      </x:c>
      <x:c r="E10" s="30" t="n">
        <x:v>46246</x:v>
      </x:c>
      <x:c r="F10" s="20" t="str">
        <x:v>VIP dan tamu undangan</x:v>
      </x:c>
      <x:c r="G10" s="20" t="str">
        <x:v>Aktif</x:v>
      </x:c>
      <x:c r="H10" s="20" t="str">
        <x:v>Jadwal penerbangan masih perlu finalisasi.</x:v>
      </x:c>
    </x:row>
    <x:row r="11">
      <x:c r="A11" s="20" t="str">
        <x:v>EVT-ACCOM</x:v>
      </x:c>
      <x:c r="B11" s="20" t="str">
        <x:v>Akomodasi</x:v>
      </x:c>
      <x:c r="C11" s="20" t="str">
        <x:v>Rumah Komplek PIM &amp; Hotel</x:v>
      </x:c>
      <x:c r="D11" s="30" t="n">
        <x:v>46244</x:v>
      </x:c>
      <x:c r="E11" s="30" t="n">
        <x:v>46246</x:v>
      </x:c>
      <x:c r="F11" s="20" t="str">
        <x:v>Direksi, Komisaris, staf dan panitia</x:v>
      </x:c>
      <x:c r="G11" s="20" t="str">
        <x:v>Aktif</x:v>
      </x:c>
      <x:c r="H11" s="20" t="str">
        <x:v>Hotel blocking belum terkonfirmasi.</x:v>
      </x:c>
    </x:row>
  </x:sheetData>
  <x:pageMargins left="0.7" right="0.7" top="0.75" bottom="0.75" header="0.3" footer="0.3"/>
  <x:tableParts count="1">
    <x:tablePart xmlns:r="http://schemas.openxmlformats.org/officeDocument/2006/relationships" r:id="R7dd2cb8b76ab42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65" hidden="0" customWidth="1"/>
    <x:col min="4" max="4" width="20" hidden="0" customWidth="1"/>
    <x:col min="5" max="5" width="10" hidden="0" customWidth="1"/>
    <x:col min="6" max="6" width="50" hidden="0" customWidth="1"/>
  </x:cols>
  <x:sheetData>
    <x:row r="1" ht="30" customHeight="1">
      <x:c r="A1" s="14" t="str">
        <x:v>Scenario</x:v>
      </x:c>
      <x:c r="B1" s="14" t="str">
        <x:v>Name</x:v>
      </x:c>
      <x:c r="C1" s="14" t="str">
        <x:v>Description</x:v>
      </x:c>
      <x:c r="D1" s="14" t="str">
        <x:v>Status</x:v>
      </x:c>
      <x:c r="E1" s="14" t="str">
        <x:v>Active?</x:v>
      </x:c>
      <x:c r="F1" s="14" t="str">
        <x:v>Notes</x:v>
      </x:c>
    </x:row>
    <x:row r="2">
      <x:c r="A2" s="20" t="str">
        <x:v>A</x:v>
      </x:c>
      <x:c r="B2" s="20" t="str">
        <x:v>Rakor Hari Terakhir</x:v>
      </x:c>
      <x:c r="C2" s="20" t="str">
        <x:v>Rakor Dirut Rabu 12 Agustus 08.00–10.00; Selasa Plenary → Raker → Olimpiade.</x:v>
      </x:c>
      <x:c r="D2" s="20" t="str">
        <x:v>Draft</x:v>
      </x:c>
      <x:c r="E2" s="20" t="str">
        <x:v>Tidak</x:v>
      </x:c>
      <x:c r="F2" s="20" t="str">
        <x:v>Sumber deck BOD; detail rundown belum lengkap.</x:v>
      </x:c>
    </x:row>
    <x:row r="3">
      <x:c r="A3" s="20" t="str">
        <x:v>B</x:v>
      </x:c>
      <x:c r="B3" s="20" t="str">
        <x:v>Rakor Hari Pertama; Olimpiade Setelah Raker</x:v>
      </x:c>
      <x:c r="C3" s="20" t="str">
        <x:v>Senin Rakor Dirut; Selasa Plenary → Raker RKAP → Final Olimpiade; Rabu kepulangan.</x:v>
      </x:c>
      <x:c r="D3" s="20" t="str">
        <x:v>Working Alternative</x:v>
      </x:c>
      <x:c r="E3" s="20" t="str">
        <x:v>Ya</x:v>
      </x:c>
      <x:c r="F3" s="20" t="str">
        <x:v>Sumber: Rundown Olimpiade Setelah Raker.xlsx.</x:v>
      </x:c>
    </x:row>
    <x:row r="4">
      <x:c r="A4" s="20" t="str">
        <x:v>C</x:v>
      </x:c>
      <x:c r="B4" s="20" t="str">
        <x:v>Rakor &amp; Olimpiade Hari Pertama</x:v>
      </x:c>
      <x:c r="C4" s="20" t="str">
        <x:v>Senin Rakor Dirut dilanjutkan Olimpiade malam; Selasa Plenary dan Raker.</x:v>
      </x:c>
      <x:c r="D4" s="20" t="str">
        <x:v>Draft</x:v>
      </x:c>
      <x:c r="E4" s="20" t="str">
        <x:v>Tidak</x:v>
      </x:c>
      <x:c r="F4" s="20" t="str">
        <x:v>Konversi venue dilakukan semalam sebelum Plenary.</x:v>
      </x:c>
    </x:row>
    <x:row r="5">
      <x:c r="A5" s="20" t="str">
        <x:v>D</x:v>
      </x:c>
      <x:c r="B5" s="20" t="str">
        <x:v>Raker Sebelum Plenary</x:v>
      </x:c>
      <x:c r="C5" s="20" t="str">
        <x:v>Alternatif baru; urutan, jam, dan implikasi venue belum ditetapkan.</x:v>
      </x:c>
      <x:c r="D5" s="20" t="str">
        <x:v>TBC</x:v>
      </x:c>
      <x:c r="E5" s="20" t="str">
        <x:v>Tidak</x:v>
      </x:c>
      <x:c r="F5" s="20" t="str">
        <x:v>Dibuat untuk mengakomodasi arahan terbaru; jangan gunakan untuk pelaksanaan sebelum disetujui.</x:v>
      </x:c>
    </x:row>
  </x:sheetData>
  <x:dataValidations count="2">
    <x:dataValidation type="list" sqref="D2:D20">
      <x:formula1>"Draft,Working Alternative,TBC,Approved,Obsolete"</x:formula1>
    </x:dataValidation>
    <x:dataValidation type="list" sqref="E2:E2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71d6fde10440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22" hidden="0" customWidth="1"/>
    <x:col min="5" max="5" width="18" hidden="0" customWidth="1"/>
    <x:col min="6" max="6" width="19" hidden="0" customWidth="1"/>
    <x:col min="7" max="7" width="19" hidden="0" customWidth="1"/>
    <x:col min="8" max="8" width="48" hidden="0" customWidth="1"/>
    <x:col min="9" max="9" width="34" hidden="0" customWidth="1"/>
    <x:col min="10" max="10" width="20" hidden="0" customWidth="1"/>
    <x:col min="11" max="11" width="16" hidden="0" customWidth="1"/>
    <x:col min="12" max="12" width="13" hidden="0" customWidth="1"/>
    <x:col min="13" max="13" width="34" hidden="0" customWidth="1"/>
  </x:cols>
  <x:sheetData>
    <x:row r="1" ht="30" customHeight="1">
      <x:c r="A1" s="14" t="str">
        <x:v>Rundown ID</x:v>
      </x:c>
      <x:c r="B1" s="14" t="str">
        <x:v>Scenario</x:v>
      </x:c>
      <x:c r="C1" s="14" t="str">
        <x:v>Event ID</x:v>
      </x:c>
      <x:c r="D1" s="14" t="str">
        <x:v>Audience</x:v>
      </x:c>
      <x:c r="E1" s="14" t="str">
        <x:v>Date</x:v>
      </x:c>
      <x:c r="F1" s="14" t="str">
        <x:v>Start</x:v>
      </x:c>
      <x:c r="G1" s="14" t="str">
        <x:v>End</x:v>
      </x:c>
      <x:c r="H1" s="14" t="str">
        <x:v>Activity</x:v>
      </x:c>
      <x:c r="I1" s="14" t="str">
        <x:v>Venue</x:v>
      </x:c>
      <x:c r="J1" s="14" t="str">
        <x:v>PIC</x:v>
      </x:c>
      <x:c r="K1" s="14" t="str">
        <x:v>Status</x:v>
      </x:c>
      <x:c r="L1" s="14" t="str">
        <x:v>Publish to PWA</x:v>
      </x:c>
      <x:c r="M1" s="14" t="str">
        <x:v>Source</x:v>
      </x:c>
    </x:row>
    <x:row r="2">
      <x:c r="A2" s="20" t="str">
        <x:v>RUN-B-001</x:v>
      </x:c>
      <x:c r="B2" s="20" t="str">
        <x:v>B</x:v>
      </x:c>
      <x:c r="C2" s="20" t="str">
        <x:v>EVT-TRANS</x:v>
      </x:c>
      <x:c r="D2" s="20" t="str">
        <x:v>Tamu Vip</x:v>
      </x:c>
      <x:c r="E2" s="40" t="n">
        <x:v>46244</x:v>
      </x:c>
      <x:c r="F2" s="32" t="n">
        <x:v>46244.6875</x:v>
      </x:c>
      <x:c r="G2" s="32" t="n">
        <x:v>46244.788194444445</x:v>
      </x:c>
      <x:c r="H2" s="20" t="str">
        <x:v>Flight CGK-KNO — Garuda Indonesia GA-190</x:v>
      </x:c>
      <x:c r="I2" s="20" t="str">
        <x:v>Bandara / Rute Lokal</x:v>
      </x:c>
      <x:c r="J2" s="20" t="str"/>
      <x:c r="K2" s="20" t="str"/>
      <x:c r="L2" s="20" t="str">
        <x:v>Ya</x:v>
      </x:c>
      <x:c r="M2" s="20" t="str">
        <x:v>Rundown Olimpiade Setelah Raker.xlsx</x:v>
      </x:c>
    </x:row>
    <x:row r="3">
      <x:c r="A3" s="20" t="str">
        <x:v>RUN-B-002</x:v>
      </x:c>
      <x:c r="B3" s="20" t="str">
        <x:v>B</x:v>
      </x:c>
      <x:c r="C3" s="20" t="str">
        <x:v>EVT-TRANS</x:v>
      </x:c>
      <x:c r="D3" s="20" t="str">
        <x:v>Tamu Vip</x:v>
      </x:c>
      <x:c r="E3" s="40" t="n">
        <x:v>46244</x:v>
      </x:c>
      <x:c r="F3" s="32" t="n">
        <x:v>46244.788194444445</x:v>
      </x:c>
      <x:c r="G3" s="32" t="n">
        <x:v>46244.82986111111</x:v>
      </x:c>
      <x:c r="H3" s="20" t="str">
        <x:v>Kedatangan tamu VIP di Bandara Kualanamu &amp; persiapan menuju lokasi makan malam</x:v>
      </x:c>
      <x:c r="I3" s="20" t="str">
        <x:v>Bandara / Rute Lokal</x:v>
      </x:c>
      <x:c r="J3" s="20" t="str"/>
      <x:c r="K3" s="20" t="str"/>
      <x:c r="L3" s="20" t="str">
        <x:v>Ya</x:v>
      </x:c>
      <x:c r="M3" s="20" t="str">
        <x:v>Rundown Olimpiade Setelah Raker.xlsx</x:v>
      </x:c>
    </x:row>
    <x:row r="4">
      <x:c r="A4" s="20" t="str">
        <x:v>RUN-B-003</x:v>
      </x:c>
      <x:c r="B4" s="20" t="str">
        <x:v>B</x:v>
      </x:c>
      <x:c r="C4" s="20" t="str">
        <x:v>EVT-TRANS</x:v>
      </x:c>
      <x:c r="D4" s="20" t="str">
        <x:v>Tamu Vip</x:v>
      </x:c>
      <x:c r="E4" s="40" t="n">
        <x:v>46244</x:v>
      </x:c>
      <x:c r="F4" s="32" t="n">
        <x:v>46244.82986111111</x:v>
      </x:c>
      <x:c r="G4" s="32" t="n">
        <x:v>46244.87152777778</x:v>
      </x:c>
      <x:c r="H4" s="20" t="str">
        <x:v>Perjalanan menuju lokasi Makan Malam (Alt. 1 / Alt. 2 — TBC)</x:v>
      </x:c>
      <x:c r="I4" s="20" t="str">
        <x:v>Bandara / Rute Lokal</x:v>
      </x:c>
      <x:c r="J4" s="20" t="str"/>
      <x:c r="K4" s="20" t="str"/>
      <x:c r="L4" s="20" t="str">
        <x:v>Ya</x:v>
      </x:c>
      <x:c r="M4" s="20" t="str">
        <x:v>Rundown Olimpiade Setelah Raker.xlsx</x:v>
      </x:c>
    </x:row>
    <x:row r="5">
      <x:c r="A5" s="20" t="str">
        <x:v>RUN-B-004</x:v>
      </x:c>
      <x:c r="B5" s="20" t="str">
        <x:v>B</x:v>
      </x:c>
      <x:c r="C5" s="20" t="str">
        <x:v>EVT-GEN</x:v>
      </x:c>
      <x:c r="D5" s="20" t="str">
        <x:v>Tamu Vip</x:v>
      </x:c>
      <x:c r="E5" s="40" t="n">
        <x:v>46244</x:v>
      </x:c>
      <x:c r="F5" s="32" t="n">
        <x:v>46244.87152777778</x:v>
      </x:c>
      <x:c r="G5" s="32" t="n">
        <x:v>46244.93402777778</x:v>
      </x:c>
      <x:c r="H5" s="20" t="str">
        <x:v>Makan Malam VIP</x:v>
      </x:c>
      <x:c r="I5" s="20" t="str"/>
      <x:c r="J5" s="20" t="str"/>
      <x:c r="K5" s="20" t="str"/>
      <x:c r="L5" s="20" t="str">
        <x:v>Ya</x:v>
      </x:c>
      <x:c r="M5" s="20" t="str">
        <x:v>Rundown Olimpiade Setelah Raker.xlsx</x:v>
      </x:c>
    </x:row>
    <x:row r="6">
      <x:c r="A6" s="20" t="str">
        <x:v>RUN-B-005</x:v>
      </x:c>
      <x:c r="B6" s="20" t="str">
        <x:v>B</x:v>
      </x:c>
      <x:c r="C6" s="20" t="str">
        <x:v>EVT-TRANS</x:v>
      </x:c>
      <x:c r="D6" s="20" t="str">
        <x:v>Tamu Vip</x:v>
      </x:c>
      <x:c r="E6" s="40" t="n">
        <x:v>46244</x:v>
      </x:c>
      <x:c r="F6" s="32" t="n">
        <x:v>46244.93402777778</x:v>
      </x:c>
      <x:c r="G6" s="32" t="n">
        <x:v>46244.96527777778</x:v>
      </x:c>
      <x:c r="H6" s="20" t="str">
        <x:v>Perjalanan menuju hotel</x:v>
      </x:c>
      <x:c r="I6" s="20" t="str">
        <x:v>Bandara / Rute Lokal</x:v>
      </x:c>
      <x:c r="J6" s="20" t="str"/>
      <x:c r="K6" s="20" t="str"/>
      <x:c r="L6" s="20" t="str">
        <x:v>Ya</x:v>
      </x:c>
      <x:c r="M6" s="20" t="str">
        <x:v>Rundown Olimpiade Setelah Raker.xlsx</x:v>
      </x:c>
    </x:row>
    <x:row r="7">
      <x:c r="A7" s="20" t="str">
        <x:v>RUN-B-006</x:v>
      </x:c>
      <x:c r="B7" s="20" t="str">
        <x:v>B</x:v>
      </x:c>
      <x:c r="C7" s="20" t="str">
        <x:v>EVT-GEN</x:v>
      </x:c>
      <x:c r="D7" s="20" t="str">
        <x:v>Tamu Vip</x:v>
      </x:c>
      <x:c r="E7" s="40" t="n">
        <x:v>46244</x:v>
      </x:c>
      <x:c r="F7" s="32" t="n">
        <x:v>46244.96527777778</x:v>
      </x:c>
      <x:c r="G7" s="32" t="n">
        <x:v>46245.25</x:v>
      </x:c>
      <x:c r="H7" s="20" t="str">
        <x:v>Istirahat</x:v>
      </x:c>
      <x:c r="I7" s="20" t="str"/>
      <x:c r="J7" s="20" t="str"/>
      <x:c r="K7" s="20" t="str"/>
      <x:c r="L7" s="20" t="str">
        <x:v>Ya</x:v>
      </x:c>
      <x:c r="M7" s="20" t="str">
        <x:v>Rundown Olimpiade Setelah Raker.xlsx</x:v>
      </x:c>
    </x:row>
    <x:row r="8">
      <x:c r="A8" s="20" t="str">
        <x:v>RUN-B-007</x:v>
      </x:c>
      <x:c r="B8" s="20" t="str">
        <x:v>B</x:v>
      </x:c>
      <x:c r="C8" s="20" t="str">
        <x:v>EVT-TRANS</x:v>
      </x:c>
      <x:c r="D8" s="20" t="str">
        <x:v>Tamu Vip</x:v>
      </x:c>
      <x:c r="E8" s="40" t="n">
        <x:v>46245</x:v>
      </x:c>
      <x:c r="F8" s="32" t="n">
        <x:v>46245.25</x:v>
      </x:c>
      <x:c r="G8" s="32" t="n">
        <x:v>46245.291666666664</x:v>
      </x:c>
      <x:c r="H8" s="20" t="str">
        <x:v>Perjalanan menuju Bandara Kualanamu</x:v>
      </x:c>
      <x:c r="I8" s="20" t="str">
        <x:v>Bandara / Rute Lokal</x:v>
      </x:c>
      <x:c r="J8" s="20" t="str"/>
      <x:c r="K8" s="20" t="str"/>
      <x:c r="L8" s="20" t="str">
        <x:v>Ya</x:v>
      </x:c>
      <x:c r="M8" s="20" t="str">
        <x:v>Rundown Olimpiade Setelah Raker.xlsx</x:v>
      </x:c>
    </x:row>
    <x:row r="9">
      <x:c r="A9" s="20" t="str">
        <x:v>RUN-B-008</x:v>
      </x:c>
      <x:c r="B9" s="20" t="str">
        <x:v>B</x:v>
      </x:c>
      <x:c r="C9" s="20" t="str">
        <x:v>EVT-GEN</x:v>
      </x:c>
      <x:c r="D9" s="20" t="str">
        <x:v>Tamu Vip</x:v>
      </x:c>
      <x:c r="E9" s="40" t="n">
        <x:v>46245</x:v>
      </x:c>
      <x:c r="F9" s="32" t="n">
        <x:v>46245.291666666664</x:v>
      </x:c>
      <x:c r="G9" s="32" t="n">
        <x:v>46245.3125</x:v>
      </x:c>
      <x:c r="H9" s="20" t="str">
        <x:v>Persiapan boarding pesawat charter</x:v>
      </x:c>
      <x:c r="I9" s="20" t="str"/>
      <x:c r="J9" s="20" t="str"/>
      <x:c r="K9" s="20" t="str"/>
      <x:c r="L9" s="20" t="str">
        <x:v>Ya</x:v>
      </x:c>
      <x:c r="M9" s="20" t="str">
        <x:v>Rundown Olimpiade Setelah Raker.xlsx</x:v>
      </x:c>
    </x:row>
    <x:row r="10">
      <x:c r="A10" s="20" t="str">
        <x:v>RUN-B-009</x:v>
      </x:c>
      <x:c r="B10" s="20" t="str">
        <x:v>B</x:v>
      </x:c>
      <x:c r="C10" s="20" t="str">
        <x:v>EVT-TRANS</x:v>
      </x:c>
      <x:c r="D10" s="20" t="str">
        <x:v>Tamu Vip</x:v>
      </x:c>
      <x:c r="E10" s="40" t="n">
        <x:v>46245</x:v>
      </x:c>
      <x:c r="F10" s="32" t="n">
        <x:v>46245.3125</x:v>
      </x:c>
      <x:c r="G10" s="32" t="n">
        <x:v>46245.354166666664</x:v>
      </x:c>
      <x:c r="H10" s="20" t="str">
        <x:v>Charter Flight Medan (KNO) – Lhokseumawe (LSW)</x:v>
      </x:c>
      <x:c r="I10" s="20" t="str">
        <x:v>Bandara / Rute Lokal</x:v>
      </x:c>
      <x:c r="J10" s="20" t="str"/>
      <x:c r="K10" s="20" t="str"/>
      <x:c r="L10" s="20" t="str">
        <x:v>Ya</x:v>
      </x:c>
      <x:c r="M10" s="20" t="str">
        <x:v>Rundown Olimpiade Setelah Raker.xlsx</x:v>
      </x:c>
    </x:row>
    <x:row r="11">
      <x:c r="A11" s="20" t="str">
        <x:v>RUN-B-010</x:v>
      </x:c>
      <x:c r="B11" s="20" t="str">
        <x:v>B</x:v>
      </x:c>
      <x:c r="C11" s="20" t="str">
        <x:v>EVT-TRANS</x:v>
      </x:c>
      <x:c r="D11" s="20" t="str">
        <x:v>Tamu Vip</x:v>
      </x:c>
      <x:c r="E11" s="40" t="n">
        <x:v>46245</x:v>
      </x:c>
      <x:c r="F11" s="32" t="n">
        <x:v>46245.354166666664</x:v>
      </x:c>
      <x:c r="G11" s="32" t="n">
        <x:v>46245.368055555555</x:v>
      </x:c>
      <x:c r="H11" s="20" t="str">
        <x:v>Tiba di Bandara Malikussaleh, lanjut ke PT Pupuk Iskandar Muda</x:v>
      </x:c>
      <x:c r="I11" s="20" t="str">
        <x:v>Bandara / Rute Lokal</x:v>
      </x:c>
      <x:c r="J11" s="20" t="str"/>
      <x:c r="K11" s="20" t="str"/>
      <x:c r="L11" s="20" t="str">
        <x:v>Ya</x:v>
      </x:c>
      <x:c r="M11" s="20" t="str">
        <x:v>Rundown Olimpiade Setelah Raker.xlsx</x:v>
      </x:c>
    </x:row>
    <x:row r="12">
      <x:c r="A12" s="20" t="str">
        <x:v>RUN-B-011</x:v>
      </x:c>
      <x:c r="B12" s="20" t="str">
        <x:v>B</x:v>
      </x:c>
      <x:c r="C12" s="20" t="str">
        <x:v>EVT-GEN</x:v>
      </x:c>
      <x:c r="D12" s="20" t="str">
        <x:v>Tamu Vip</x:v>
      </x:c>
      <x:c r="E12" s="40" t="n">
        <x:v>46245</x:v>
      </x:c>
      <x:c r="F12" s="32" t="n">
        <x:v>46245.368055555555</x:v>
      </x:c>
      <x:c r="G12" s="32" t="n">
        <x:v>46245.40625</x:v>
      </x:c>
      <x:c r="H12" s="20" t="str">
        <x:v>Sarapan di Wisma Rajalanang 11 &amp; Persiapan Plant Tour</x:v>
      </x:c>
      <x:c r="I12" s="20" t="str">
        <x:v>Area Pabrik PIM</x:v>
      </x:c>
      <x:c r="J12" s="20" t="str"/>
      <x:c r="K12" s="20" t="str"/>
      <x:c r="L12" s="20" t="str">
        <x:v>Ya</x:v>
      </x:c>
      <x:c r="M12" s="20" t="str">
        <x:v>Rundown Olimpiade Setelah Raker.xlsx</x:v>
      </x:c>
    </x:row>
    <x:row r="13">
      <x:c r="A13" s="20" t="str">
        <x:v>RUN-B-012</x:v>
      </x:c>
      <x:c r="B13" s="20" t="str">
        <x:v>B</x:v>
      </x:c>
      <x:c r="C13" s="20" t="str">
        <x:v>EVT-PLENARY</x:v>
      </x:c>
      <x:c r="D13" s="20" t="str">
        <x:v>Tamu Vip</x:v>
      </x:c>
      <x:c r="E13" s="40" t="n">
        <x:v>46245</x:v>
      </x:c>
      <x:c r="F13" s="32" t="n">
        <x:v>46245.40625</x:v>
      </x:c>
      <x:c r="G13" s="32" t="n">
        <x:v>46245.40625</x:v>
      </x:c>
      <x:c r="H13" s="20" t="str">
        <x:v>Kedatangan Tamu VIP di Plenary Session</x:v>
      </x:c>
      <x:c r="I13" s="20" t="str">
        <x:v>Gedung Pertemuan</x:v>
      </x:c>
      <x:c r="J13" s="20" t="str"/>
      <x:c r="K13" s="20" t="str"/>
      <x:c r="L13" s="20" t="str">
        <x:v>Ya</x:v>
      </x:c>
      <x:c r="M13" s="20" t="str">
        <x:v>Rundown Olimpiade Setelah Raker.xlsx</x:v>
      </x:c>
    </x:row>
    <x:row r="14">
      <x:c r="A14" s="20" t="str">
        <x:v>RUN-B-013</x:v>
      </x:c>
      <x:c r="B14" s="20" t="str">
        <x:v>B</x:v>
      </x:c>
      <x:c r="C14" s="20" t="str">
        <x:v>EVT-PLENARY</x:v>
      </x:c>
      <x:c r="D14" s="20" t="str">
        <x:v>Tamu Vip</x:v>
      </x:c>
      <x:c r="E14" s="40" t="n">
        <x:v>46245</x:v>
      </x:c>
      <x:c r="F14" s="32" t="n">
        <x:v>46245.40625</x:v>
      </x:c>
      <x:c r="G14" s="32" t="n">
        <x:v>46245.40972222222</x:v>
      </x:c>
      <x:c r="H14" s="20" t="str">
        <x:v>Safety Briefing</x:v>
      </x:c>
      <x:c r="I14" s="20" t="str">
        <x:v>Gedung Pertemuan</x:v>
      </x:c>
      <x:c r="J14" s="20" t="str"/>
      <x:c r="K14" s="20" t="str"/>
      <x:c r="L14" s="20" t="str">
        <x:v>Ya</x:v>
      </x:c>
      <x:c r="M14" s="20" t="str">
        <x:v>Rundown Olimpiade Setelah Raker.xlsx</x:v>
      </x:c>
    </x:row>
    <x:row r="15">
      <x:c r="A15" s="20" t="str">
        <x:v>RUN-B-014</x:v>
      </x:c>
      <x:c r="B15" s="20" t="str">
        <x:v>B</x:v>
      </x:c>
      <x:c r="C15" s="20" t="str">
        <x:v>EVT-PLENARY</x:v>
      </x:c>
      <x:c r="D15" s="20" t="str">
        <x:v>Tamu Vip</x:v>
      </x:c>
      <x:c r="E15" s="40" t="n">
        <x:v>46245</x:v>
      </x:c>
      <x:c r="F15" s="32" t="n">
        <x:v>46245.40972222222</x:v>
      </x:c>
      <x:c r="G15" s="32" t="n">
        <x:v>46245.413194444445</x:v>
      </x:c>
      <x:c r="H15" s="20" t="str">
        <x:v>Pembukaan oleh MC</x:v>
      </x:c>
      <x:c r="I15" s="20" t="str">
        <x:v>Gedung Pertemuan</x:v>
      </x:c>
      <x:c r="J15" s="20" t="str"/>
      <x:c r="K15" s="20" t="str"/>
      <x:c r="L15" s="20" t="str">
        <x:v>Ya</x:v>
      </x:c>
      <x:c r="M15" s="20" t="str">
        <x:v>Rundown Olimpiade Setelah Raker.xlsx</x:v>
      </x:c>
    </x:row>
    <x:row r="16">
      <x:c r="A16" s="20" t="str">
        <x:v>RUN-B-015</x:v>
      </x:c>
      <x:c r="B16" s="20" t="str">
        <x:v>B</x:v>
      </x:c>
      <x:c r="C16" s="20" t="str">
        <x:v>EVT-PLENARY</x:v>
      </x:c>
      <x:c r="D16" s="20" t="str">
        <x:v>Tamu Vip</x:v>
      </x:c>
      <x:c r="E16" s="40" t="n">
        <x:v>46245</x:v>
      </x:c>
      <x:c r="F16" s="32" t="n">
        <x:v>46245.413194444445</x:v>
      </x:c>
      <x:c r="G16" s="32" t="n">
        <x:v>46245.416666666664</x:v>
      </x:c>
      <x:c r="H16" s="20" t="str">
        <x:v>Menyanyikan Lagu Indonesia Raya dan Mars PI</x:v>
      </x:c>
      <x:c r="I16" s="20" t="str">
        <x:v>Gedung Pertemuan</x:v>
      </x:c>
      <x:c r="J16" s="20" t="str"/>
      <x:c r="K16" s="20" t="str"/>
      <x:c r="L16" s="20" t="str">
        <x:v>Ya</x:v>
      </x:c>
      <x:c r="M16" s="20" t="str">
        <x:v>Rundown Olimpiade Setelah Raker.xlsx</x:v>
      </x:c>
    </x:row>
    <x:row r="17">
      <x:c r="A17" s="20" t="str">
        <x:v>RUN-B-016</x:v>
      </x:c>
      <x:c r="B17" s="20" t="str">
        <x:v>B</x:v>
      </x:c>
      <x:c r="C17" s="20" t="str">
        <x:v>EVT-PLENARY</x:v>
      </x:c>
      <x:c r="D17" s="20" t="str">
        <x:v>Tamu Vip</x:v>
      </x:c>
      <x:c r="E17" s="40" t="n">
        <x:v>46245</x:v>
      </x:c>
      <x:c r="F17" s="32" t="n">
        <x:v>46245.416666666664</x:v>
      </x:c>
      <x:c r="G17" s="32" t="n">
        <x:v>46245.427083333336</x:v>
      </x:c>
      <x:c r="H17" s="20" t="str">
        <x:v>Welcome Speech Direktur Utama PT Pupuk Indonesia (Persero)</x:v>
      </x:c>
      <x:c r="I17" s="20" t="str">
        <x:v>Gedung Pertemuan</x:v>
      </x:c>
      <x:c r="J17" s="20" t="str"/>
      <x:c r="K17" s="20" t="str"/>
      <x:c r="L17" s="20" t="str">
        <x:v>Ya</x:v>
      </x:c>
      <x:c r="M17" s="20" t="str">
        <x:v>Rundown Olimpiade Setelah Raker.xlsx</x:v>
      </x:c>
    </x:row>
    <x:row r="18">
      <x:c r="A18" s="20" t="str">
        <x:v>RUN-B-017</x:v>
      </x:c>
      <x:c r="B18" s="20" t="str">
        <x:v>B</x:v>
      </x:c>
      <x:c r="C18" s="20" t="str">
        <x:v>EVT-PLENARY</x:v>
      </x:c>
      <x:c r="D18" s="20" t="str">
        <x:v>Tamu Vip</x:v>
      </x:c>
      <x:c r="E18" s="40" t="n">
        <x:v>46245</x:v>
      </x:c>
      <x:c r="F18" s="32" t="n">
        <x:v>46245.427083333336</x:v>
      </x:c>
      <x:c r="G18" s="32" t="n">
        <x:v>46245.44097222222</x:v>
      </x:c>
      <x:c r="H18" s="20" t="str">
        <x:v>Plenary: Setyanto Hantoro, MD Business II Danantara Asset Management</x:v>
      </x:c>
      <x:c r="I18" s="20" t="str">
        <x:v>Gedung Pertemuan</x:v>
      </x:c>
      <x:c r="J18" s="20" t="str"/>
      <x:c r="K18" s="20" t="str"/>
      <x:c r="L18" s="20" t="str">
        <x:v>Ya</x:v>
      </x:c>
      <x:c r="M18" s="20" t="str">
        <x:v>Rundown Olimpiade Setelah Raker.xlsx</x:v>
      </x:c>
    </x:row>
    <x:row r="19">
      <x:c r="A19" s="20" t="str">
        <x:v>RUN-B-018</x:v>
      </x:c>
      <x:c r="B19" s="20" t="str">
        <x:v>B</x:v>
      </x:c>
      <x:c r="C19" s="20" t="str">
        <x:v>EVT-PLENARY</x:v>
      </x:c>
      <x:c r="D19" s="20" t="str">
        <x:v>Tamu Vip</x:v>
      </x:c>
      <x:c r="E19" s="40" t="n">
        <x:v>46245</x:v>
      </x:c>
      <x:c r="F19" s="32" t="n">
        <x:v>46245.44097222222</x:v>
      </x:c>
      <x:c r="G19" s="32" t="n">
        <x:v>46245.45486111111</x:v>
      </x:c>
      <x:c r="H19" s="20" t="str">
        <x:v>Plenary: Kobad Bhavnagri, Global Head of Strategy Bloomberg NEF</x:v>
      </x:c>
      <x:c r="I19" s="20" t="str">
        <x:v>Gedung Pertemuan</x:v>
      </x:c>
      <x:c r="J19" s="20" t="str"/>
      <x:c r="K19" s="20" t="str"/>
      <x:c r="L19" s="20" t="str">
        <x:v>Ya</x:v>
      </x:c>
      <x:c r="M19" s="20" t="str">
        <x:v>Rundown Olimpiade Setelah Raker.xlsx</x:v>
      </x:c>
    </x:row>
    <x:row r="20">
      <x:c r="A20" s="20" t="str">
        <x:v>RUN-B-019</x:v>
      </x:c>
      <x:c r="B20" s="20" t="str">
        <x:v>B</x:v>
      </x:c>
      <x:c r="C20" s="20" t="str">
        <x:v>EVT-PLENARY</x:v>
      </x:c>
      <x:c r="D20" s="20" t="str">
        <x:v>Tamu Vip</x:v>
      </x:c>
      <x:c r="E20" s="40" t="n">
        <x:v>46245</x:v>
      </x:c>
      <x:c r="F20" s="32" t="n">
        <x:v>46245.45486111111</x:v>
      </x:c>
      <x:c r="G20" s="32" t="n">
        <x:v>46245.46527777778</x:v>
      </x:c>
      <x:c r="H20" s="20" t="str">
        <x:v>Plenary: Satya Widya Yudha, Anggota Dewan Energi Nasional RI</x:v>
      </x:c>
      <x:c r="I20" s="20" t="str">
        <x:v>Gedung Pertemuan</x:v>
      </x:c>
      <x:c r="J20" s="20" t="str"/>
      <x:c r="K20" s="20" t="str"/>
      <x:c r="L20" s="20" t="str">
        <x:v>Ya</x:v>
      </x:c>
      <x:c r="M20" s="20" t="str">
        <x:v>Rundown Olimpiade Setelah Raker.xlsx</x:v>
      </x:c>
    </x:row>
    <x:row r="21">
      <x:c r="A21" s="20" t="str">
        <x:v>RUN-B-020</x:v>
      </x:c>
      <x:c r="B21" s="20" t="str">
        <x:v>B</x:v>
      </x:c>
      <x:c r="C21" s="20" t="str">
        <x:v>EVT-PLENARY</x:v>
      </x:c>
      <x:c r="D21" s="20" t="str">
        <x:v>Tamu Vip</x:v>
      </x:c>
      <x:c r="E21" s="40" t="n">
        <x:v>46245</x:v>
      </x:c>
      <x:c r="F21" s="32" t="n">
        <x:v>46245.46527777778</x:v>
      </x:c>
      <x:c r="G21" s="32" t="n">
        <x:v>46245.46875</x:v>
      </x:c>
      <x:c r="H21" s="20" t="str">
        <x:v>Lanjutan Plenary: Satya Widya Yudha</x:v>
      </x:c>
      <x:c r="I21" s="20" t="str">
        <x:v>Gedung Pertemuan</x:v>
      </x:c>
      <x:c r="J21" s="20" t="str"/>
      <x:c r="K21" s="20" t="str"/>
      <x:c r="L21" s="20" t="str">
        <x:v>Ya</x:v>
      </x:c>
      <x:c r="M21" s="20" t="str">
        <x:v>Rundown Olimpiade Setelah Raker.xlsx</x:v>
      </x:c>
    </x:row>
    <x:row r="22">
      <x:c r="A22" s="20" t="str">
        <x:v>RUN-B-021</x:v>
      </x:c>
      <x:c r="B22" s="20" t="str">
        <x:v>B</x:v>
      </x:c>
      <x:c r="C22" s="20" t="str">
        <x:v>EVT-PLENARY</x:v>
      </x:c>
      <x:c r="D22" s="20" t="str">
        <x:v>Tamu Vip</x:v>
      </x:c>
      <x:c r="E22" s="40" t="n">
        <x:v>46245</x:v>
      </x:c>
      <x:c r="F22" s="32" t="n">
        <x:v>46245.46875</x:v>
      </x:c>
      <x:c r="G22" s="32" t="n">
        <x:v>46245.48263888889</x:v>
      </x:c>
      <x:c r="H22" s="20" t="str">
        <x:v>Plenary: Mike Zeleznick, Vibravision Chief Instructor</x:v>
      </x:c>
      <x:c r="I22" s="20" t="str">
        <x:v>Gedung Pertemuan</x:v>
      </x:c>
      <x:c r="J22" s="20" t="str"/>
      <x:c r="K22" s="20" t="str"/>
      <x:c r="L22" s="20" t="str">
        <x:v>Ya</x:v>
      </x:c>
      <x:c r="M22" s="20" t="str">
        <x:v>Rundown Olimpiade Setelah Raker.xlsx</x:v>
      </x:c>
    </x:row>
    <x:row r="23">
      <x:c r="A23" s="20" t="str">
        <x:v>RUN-B-022</x:v>
      </x:c>
      <x:c r="B23" s="20" t="str">
        <x:v>B</x:v>
      </x:c>
      <x:c r="C23" s="20" t="str">
        <x:v>EVT-PLENARY</x:v>
      </x:c>
      <x:c r="D23" s="20" t="str">
        <x:v>Tamu Vip</x:v>
      </x:c>
      <x:c r="E23" s="40" t="n">
        <x:v>46245</x:v>
      </x:c>
      <x:c r="F23" s="32" t="n">
        <x:v>46245.48263888889</x:v>
      </x:c>
      <x:c r="G23" s="32" t="n">
        <x:v>46245.48263888889</x:v>
      </x:c>
      <x:c r="H23" s="20" t="str">
        <x:v>Keynote: Dr. Sudaryono, Kepala BGN / Komut PI — durasi sementara 0, menunggu konfirmasi</x:v>
      </x:c>
      <x:c r="I23" s="20" t="str">
        <x:v>Gedung Pertemuan</x:v>
      </x:c>
      <x:c r="J23" s="20" t="str"/>
      <x:c r="K23" s="20" t="str"/>
      <x:c r="L23" s="20" t="str">
        <x:v>Ya</x:v>
      </x:c>
      <x:c r="M23" s="20" t="str">
        <x:v>Rundown Olimpiade Setelah Raker.xlsx</x:v>
      </x:c>
    </x:row>
    <x:row r="24">
      <x:c r="A24" s="20" t="str">
        <x:v>RUN-B-023</x:v>
      </x:c>
      <x:c r="B24" s="20" t="str">
        <x:v>B</x:v>
      </x:c>
      <x:c r="C24" s="20" t="str">
        <x:v>EVT-PLENARY</x:v>
      </x:c>
      <x:c r="D24" s="20" t="str">
        <x:v>Tamu Vip</x:v>
      </x:c>
      <x:c r="E24" s="40" t="n">
        <x:v>46245</x:v>
      </x:c>
      <x:c r="F24" s="32" t="n">
        <x:v>46245.48263888889</x:v>
      </x:c>
      <x:c r="G24" s="32" t="n">
        <x:v>46245.48611111111</x:v>
      </x:c>
      <x:c r="H24" s="20" t="str">
        <x:v>Penyerahan plakat, foto bersama, penutupan MC</x:v>
      </x:c>
      <x:c r="I24" s="20" t="str">
        <x:v>Gedung Pertemuan</x:v>
      </x:c>
      <x:c r="J24" s="20" t="str"/>
      <x:c r="K24" s="20" t="str"/>
      <x:c r="L24" s="20" t="str">
        <x:v>Ya</x:v>
      </x:c>
      <x:c r="M24" s="20" t="str">
        <x:v>Rundown Olimpiade Setelah Raker.xlsx</x:v>
      </x:c>
    </x:row>
    <x:row r="25">
      <x:c r="A25" s="20" t="str">
        <x:v>RUN-B-024</x:v>
      </x:c>
      <x:c r="B25" s="20" t="str">
        <x:v>B</x:v>
      </x:c>
      <x:c r="C25" s="20" t="str">
        <x:v>EVT-GEN</x:v>
      </x:c>
      <x:c r="D25" s="20" t="str">
        <x:v>Tamu Vip</x:v>
      </x:c>
      <x:c r="E25" s="40" t="n">
        <x:v>46245</x:v>
      </x:c>
      <x:c r="F25" s="32" t="n">
        <x:v>46245.48611111111</x:v>
      </x:c>
      <x:c r="G25" s="32" t="n">
        <x:v>46245.51388888889</x:v>
      </x:c>
      <x:c r="H25" s="20" t="str">
        <x:v>Plant Tour</x:v>
      </x:c>
      <x:c r="I25" s="20" t="str">
        <x:v>Area Pabrik PIM</x:v>
      </x:c>
      <x:c r="J25" s="20" t="str"/>
      <x:c r="K25" s="20" t="str"/>
      <x:c r="L25" s="20" t="str">
        <x:v>Ya</x:v>
      </x:c>
      <x:c r="M25" s="20" t="str">
        <x:v>Rundown Olimpiade Setelah Raker.xlsx</x:v>
      </x:c>
    </x:row>
    <x:row r="26">
      <x:c r="A26" s="20" t="str">
        <x:v>RUN-B-025</x:v>
      </x:c>
      <x:c r="B26" s="20" t="str">
        <x:v>B</x:v>
      </x:c>
      <x:c r="C26" s="20" t="str">
        <x:v>EVT-ISHOMA</x:v>
      </x:c>
      <x:c r="D26" s="20" t="str">
        <x:v>Tamu Vip</x:v>
      </x:c>
      <x:c r="E26" s="40" t="n">
        <x:v>46245</x:v>
      </x:c>
      <x:c r="F26" s="32" t="n">
        <x:v>46245.51388888889</x:v>
      </x:c>
      <x:c r="G26" s="32" t="n">
        <x:v>46245.583333333336</x:v>
      </x:c>
      <x:c r="H26" s="20" t="str">
        <x:v>Ishoma @ Tenda Ronder GP</x:v>
      </x:c>
      <x:c r="I26" s="20" t="str">
        <x:v>Tenda Makan di Gedung Pertemuan</x:v>
      </x:c>
      <x:c r="J26" s="20" t="str"/>
      <x:c r="K26" s="20" t="str"/>
      <x:c r="L26" s="20" t="str">
        <x:v>Ya</x:v>
      </x:c>
      <x:c r="M26" s="20" t="str">
        <x:v>Rundown Olimpiade Setelah Raker.xlsx</x:v>
      </x:c>
    </x:row>
    <x:row r="27">
      <x:c r="A27" s="20" t="str">
        <x:v>RUN-B-026</x:v>
      </x:c>
      <x:c r="B27" s="20" t="str">
        <x:v>B</x:v>
      </x:c>
      <x:c r="C27" s="20" t="str">
        <x:v>EVT-TRANS</x:v>
      </x:c>
      <x:c r="D27" s="20" t="str">
        <x:v>Tamu Vip</x:v>
      </x:c>
      <x:c r="E27" s="40" t="n">
        <x:v>46245</x:v>
      </x:c>
      <x:c r="F27" s="32" t="n">
        <x:v>46245.583333333336</x:v>
      </x:c>
      <x:c r="G27" s="32" t="n">
        <x:v>46245.59375</x:v>
      </x:c>
      <x:c r="H27" s="20" t="str">
        <x:v>Perjalanan menuju Bandara Malikussaleh</x:v>
      </x:c>
      <x:c r="I27" s="20" t="str">
        <x:v>Bandara / Rute Lokal</x:v>
      </x:c>
      <x:c r="J27" s="20" t="str"/>
      <x:c r="K27" s="20" t="str"/>
      <x:c r="L27" s="20" t="str">
        <x:v>Ya</x:v>
      </x:c>
      <x:c r="M27" s="20" t="str">
        <x:v>Rundown Olimpiade Setelah Raker.xlsx</x:v>
      </x:c>
    </x:row>
    <x:row r="28">
      <x:c r="A28" s="20" t="str">
        <x:v>RUN-B-027</x:v>
      </x:c>
      <x:c r="B28" s="20" t="str">
        <x:v>B</x:v>
      </x:c>
      <x:c r="C28" s="20" t="str">
        <x:v>EVT-TRANS</x:v>
      </x:c>
      <x:c r="D28" s="20" t="str">
        <x:v>Tamu Vip</x:v>
      </x:c>
      <x:c r="E28" s="40" t="n">
        <x:v>46245</x:v>
      </x:c>
      <x:c r="F28" s="32" t="n">
        <x:v>46245.59375</x:v>
      </x:c>
      <x:c r="G28" s="32" t="n">
        <x:v>46245.635416666664</x:v>
      </x:c>
      <x:c r="H28" s="20" t="str">
        <x:v>Charter Flight Lhokseumawe (LSW) – Medan (KNO)</x:v>
      </x:c>
      <x:c r="I28" s="20" t="str">
        <x:v>Bandara / Rute Lokal</x:v>
      </x:c>
      <x:c r="J28" s="20" t="str"/>
      <x:c r="K28" s="20" t="str"/>
      <x:c r="L28" s="20" t="str">
        <x:v>Ya</x:v>
      </x:c>
      <x:c r="M28" s="20" t="str">
        <x:v>Rundown Olimpiade Setelah Raker.xlsx</x:v>
      </x:c>
    </x:row>
    <x:row r="29">
      <x:c r="A29" s="20" t="str">
        <x:v>RUN-B-028</x:v>
      </x:c>
      <x:c r="B29" s="20" t="str">
        <x:v>B</x:v>
      </x:c>
      <x:c r="C29" s="20" t="str">
        <x:v>EVT-GEN</x:v>
      </x:c>
      <x:c r="D29" s="20" t="str">
        <x:v>Tamu Vip</x:v>
      </x:c>
      <x:c r="E29" s="40" t="n">
        <x:v>46245</x:v>
      </x:c>
      <x:c r="F29" s="32" t="n">
        <x:v>46245.635416666664</x:v>
      </x:c>
      <x:c r="G29" s="32" t="n">
        <x:v>46245.649305555555</x:v>
      </x:c>
      <x:c r="H29" s="20" t="str">
        <x:v>Tiba di Medan dan Selesai (lanjutan KNO–CGK menyesuaikan)</x:v>
      </x:c>
      <x:c r="I29" s="20" t="str"/>
      <x:c r="J29" s="20" t="str"/>
      <x:c r="K29" s="20" t="str"/>
      <x:c r="L29" s="20" t="str">
        <x:v>Ya</x:v>
      </x:c>
      <x:c r="M29" s="20" t="str">
        <x:v>Rundown Olimpiade Setelah Raker.xlsx</x:v>
      </x:c>
    </x:row>
    <x:row r="30">
      <x:c r="A30" s="20" t="str">
        <x:v>RUN-B-029</x:v>
      </x:c>
      <x:c r="B30" s="20" t="str">
        <x:v>B</x:v>
      </x:c>
      <x:c r="C30" s="20" t="str">
        <x:v>EVT-TRANS</x:v>
      </x:c>
      <x:c r="D30" s="20" t="str">
        <x:v>Tamu Undangan</x:v>
      </x:c>
      <x:c r="E30" s="40" t="n">
        <x:v>46244</x:v>
      </x:c>
      <x:c r="F30" s="32" t="n">
        <x:v>46244.208333333336</x:v>
      </x:c>
      <x:c r="G30" s="32" t="n">
        <x:v>46244.291666666664</x:v>
      </x:c>
      <x:c r="H30" s="20" t="str">
        <x:v>Kumpul &amp; Check-in Bandara Soekarno-Hatta (CGK)</x:v>
      </x:c>
      <x:c r="I30" s="20" t="str">
        <x:v>Bandara / Rute Lokal</x:v>
      </x:c>
      <x:c r="J30" s="20" t="str"/>
      <x:c r="K30" s="20" t="str"/>
      <x:c r="L30" s="20" t="str">
        <x:v>Ya</x:v>
      </x:c>
      <x:c r="M30" s="20" t="str">
        <x:v>Rundown Olimpiade Setelah Raker.xlsx</x:v>
      </x:c>
    </x:row>
    <x:row r="31">
      <x:c r="A31" s="20" t="str">
        <x:v>RUN-B-030</x:v>
      </x:c>
      <x:c r="B31" s="20" t="str">
        <x:v>B</x:v>
      </x:c>
      <x:c r="C31" s="20" t="str">
        <x:v>EVT-TRANS</x:v>
      </x:c>
      <x:c r="D31" s="20" t="str">
        <x:v>Tamu Undangan</x:v>
      </x:c>
      <x:c r="E31" s="40" t="n">
        <x:v>46244</x:v>
      </x:c>
      <x:c r="F31" s="32" t="n">
        <x:v>46244.291666666664</x:v>
      </x:c>
      <x:c r="G31" s="32" t="n">
        <x:v>46244.413194444445</x:v>
      </x:c>
      <x:c r="H31" s="20" t="str">
        <x:v>Flight CGK–LSW (komersil — full book seat, jadwal TBC)</x:v>
      </x:c>
      <x:c r="I31" s="20" t="str">
        <x:v>Bandara / Rute Lokal</x:v>
      </x:c>
      <x:c r="J31" s="20" t="str"/>
      <x:c r="K31" s="20" t="str"/>
      <x:c r="L31" s="20" t="str">
        <x:v>Ya</x:v>
      </x:c>
      <x:c r="M31" s="20" t="str">
        <x:v>Rundown Olimpiade Setelah Raker.xlsx</x:v>
      </x:c>
    </x:row>
    <x:row r="32">
      <x:c r="A32" s="20" t="str">
        <x:v>RUN-B-031</x:v>
      </x:c>
      <x:c r="B32" s="20" t="str">
        <x:v>B</x:v>
      </x:c>
      <x:c r="C32" s="20" t="str">
        <x:v>EVT-TRANS</x:v>
      </x:c>
      <x:c r="D32" s="20" t="str">
        <x:v>Tamu Undangan</x:v>
      </x:c>
      <x:c r="E32" s="40" t="n">
        <x:v>46244</x:v>
      </x:c>
      <x:c r="F32" s="32" t="n">
        <x:v>46244.413194444445</x:v>
      </x:c>
      <x:c r="G32" s="32" t="n">
        <x:v>46244.44097222222</x:v>
      </x:c>
      <x:c r="H32" s="20" t="str">
        <x:v>Tiba di Bandara Malikussaleh, perjalanan ke PT Pupuk Iskandar Muda</x:v>
      </x:c>
      <x:c r="I32" s="20" t="str">
        <x:v>Bandara / Rute Lokal</x:v>
      </x:c>
      <x:c r="J32" s="20" t="str"/>
      <x:c r="K32" s="20" t="str"/>
      <x:c r="L32" s="20" t="str">
        <x:v>Ya</x:v>
      </x:c>
      <x:c r="M32" s="20" t="str">
        <x:v>Rundown Olimpiade Setelah Raker.xlsx</x:v>
      </x:c>
    </x:row>
    <x:row r="33">
      <x:c r="A33" s="20" t="str">
        <x:v>RUN-B-032</x:v>
      </x:c>
      <x:c r="B33" s="20" t="str">
        <x:v>B</x:v>
      </x:c>
      <x:c r="C33" s="20" t="str">
        <x:v>EVT-ACCOM</x:v>
      </x:c>
      <x:c r="D33" s="20" t="str">
        <x:v>Tamu Undangan</x:v>
      </x:c>
      <x:c r="E33" s="40" t="n">
        <x:v>46244</x:v>
      </x:c>
      <x:c r="F33" s="32" t="n">
        <x:v>46244.44097222222</x:v>
      </x:c>
      <x:c r="G33" s="32" t="n">
        <x:v>46244.541666666664</x:v>
      </x:c>
      <x:c r="H33" s="20" t="str">
        <x:v>Check-in akomodasi &amp; Makan Siang</x:v>
      </x:c>
      <x:c r="I33" s="20" t="str">
        <x:v>Rumah Komplek PIM &amp; Hotel</x:v>
      </x:c>
      <x:c r="J33" s="20" t="str"/>
      <x:c r="K33" s="20" t="str"/>
      <x:c r="L33" s="20" t="str">
        <x:v>Ya</x:v>
      </x:c>
      <x:c r="M33" s="20" t="str">
        <x:v>Rundown Olimpiade Setelah Raker.xlsx</x:v>
      </x:c>
    </x:row>
    <x:row r="34">
      <x:c r="A34" s="20" t="str">
        <x:v>RUN-B-033</x:v>
      </x:c>
      <x:c r="B34" s="20" t="str">
        <x:v>B</x:v>
      </x:c>
      <x:c r="C34" s="20" t="str">
        <x:v>EVT-GEN</x:v>
      </x:c>
      <x:c r="D34" s="20" t="str">
        <x:v>Tamu Undangan</x:v>
      </x:c>
      <x:c r="E34" s="40" t="n">
        <x:v>46244</x:v>
      </x:c>
      <x:c r="F34" s="32" t="n">
        <x:v>46244.541666666664</x:v>
      </x:c>
      <x:c r="G34" s="32" t="n">
        <x:v>46244.5625</x:v>
      </x:c>
      <x:c r="H34" s="20" t="str">
        <x:v>Waktu bebas / persiapan</x:v>
      </x:c>
      <x:c r="I34" s="20" t="str"/>
      <x:c r="J34" s="20" t="str"/>
      <x:c r="K34" s="20" t="str"/>
      <x:c r="L34" s="20" t="str">
        <x:v>Ya</x:v>
      </x:c>
      <x:c r="M34" s="20" t="str">
        <x:v>Rundown Olimpiade Setelah Raker.xlsx</x:v>
      </x:c>
    </x:row>
    <x:row r="35">
      <x:c r="A35" s="20" t="str">
        <x:v>RUN-B-034</x:v>
      </x:c>
      <x:c r="B35" s="20" t="str">
        <x:v>B</x:v>
      </x:c>
      <x:c r="C35" s="20" t="str">
        <x:v>EVT-RAKOR</x:v>
      </x:c>
      <x:c r="D35" s="20" t="str">
        <x:v>Tamu Undangan</x:v>
      </x:c>
      <x:c r="E35" s="40" t="n">
        <x:v>46244</x:v>
      </x:c>
      <x:c r="F35" s="32" t="n">
        <x:v>46244.5625</x:v>
      </x:c>
      <x:c r="G35" s="32" t="n">
        <x:v>46244.708333333336</x:v>
      </x:c>
      <x:c r="H35" s="20" t="str">
        <x:v>Rakor Direktur Utama PI Grup (pendampingan bagi yang terkait) / waktu bebas</x:v>
      </x:c>
      <x:c r="I35" s="20" t="str">
        <x:v>Ruang Keupula</x:v>
      </x:c>
      <x:c r="J35" s="20" t="str"/>
      <x:c r="K35" s="20" t="str"/>
      <x:c r="L35" s="20" t="str">
        <x:v>Ya</x:v>
      </x:c>
      <x:c r="M35" s="20" t="str">
        <x:v>Rundown Olimpiade Setelah Raker.xlsx</x:v>
      </x:c>
    </x:row>
    <x:row r="36">
      <x:c r="A36" s="20" t="str">
        <x:v>RUN-B-035</x:v>
      </x:c>
      <x:c r="B36" s="20" t="str">
        <x:v>B</x:v>
      </x:c>
      <x:c r="C36" s="20" t="str">
        <x:v>EVT-DINNER</x:v>
      </x:c>
      <x:c r="D36" s="20" t="str">
        <x:v>Tamu Undangan</x:v>
      </x:c>
      <x:c r="E36" s="40" t="n">
        <x:v>46244</x:v>
      </x:c>
      <x:c r="F36" s="32" t="n">
        <x:v>46244.708333333336</x:v>
      </x:c>
      <x:c r="G36" s="32" t="n">
        <x:v>46244.791666666664</x:v>
      </x:c>
      <x:c r="H36" s="20" t="str">
        <x:v>Persiapan Welcoming Dinner</x:v>
      </x:c>
      <x:c r="I36" s="20" t="str">
        <x:v>Tenda Raja Lanang</x:v>
      </x:c>
      <x:c r="J36" s="20" t="str"/>
      <x:c r="K36" s="20" t="str"/>
      <x:c r="L36" s="20" t="str">
        <x:v>Ya</x:v>
      </x:c>
      <x:c r="M36" s="20" t="str">
        <x:v>Rundown Olimpiade Setelah Raker.xlsx</x:v>
      </x:c>
    </x:row>
    <x:row r="37">
      <x:c r="A37" s="20" t="str">
        <x:v>RUN-B-036</x:v>
      </x:c>
      <x:c r="B37" s="20" t="str">
        <x:v>B</x:v>
      </x:c>
      <x:c r="C37" s="20" t="str">
        <x:v>EVT-DINNER</x:v>
      </x:c>
      <x:c r="D37" s="20" t="str">
        <x:v>Tamu Undangan</x:v>
      </x:c>
      <x:c r="E37" s="40" t="n">
        <x:v>46244</x:v>
      </x:c>
      <x:c r="F37" s="32" t="n">
        <x:v>46244.791666666664</x:v>
      </x:c>
      <x:c r="G37" s="32" t="n">
        <x:v>46244.875</x:v>
      </x:c>
      <x:c r="H37" s="20" t="str">
        <x:v>Welcoming Dinner</x:v>
      </x:c>
      <x:c r="I37" s="20" t="str">
        <x:v>Tenda Raja Lanang</x:v>
      </x:c>
      <x:c r="J37" s="20" t="str"/>
      <x:c r="K37" s="20" t="str"/>
      <x:c r="L37" s="20" t="str">
        <x:v>Ya</x:v>
      </x:c>
      <x:c r="M37" s="20" t="str">
        <x:v>Rundown Olimpiade Setelah Raker.xlsx</x:v>
      </x:c>
    </x:row>
    <x:row r="38">
      <x:c r="A38" s="20" t="str">
        <x:v>RUN-B-037</x:v>
      </x:c>
      <x:c r="B38" s="20" t="str">
        <x:v>B</x:v>
      </x:c>
      <x:c r="C38" s="20" t="str">
        <x:v>EVT-GEN</x:v>
      </x:c>
      <x:c r="D38" s="20" t="str">
        <x:v>Tamu Undangan</x:v>
      </x:c>
      <x:c r="E38" s="40" t="n">
        <x:v>46244</x:v>
      </x:c>
      <x:c r="F38" s="32" t="n">
        <x:v>46244.875</x:v>
      </x:c>
      <x:c r="G38" s="32" t="n">
        <x:v>46245.319444444445</x:v>
      </x:c>
      <x:c r="H38" s="20" t="str">
        <x:v>Istirahat</x:v>
      </x:c>
      <x:c r="I38" s="20" t="str"/>
      <x:c r="J38" s="20" t="str"/>
      <x:c r="K38" s="20" t="str"/>
      <x:c r="L38" s="20" t="str">
        <x:v>Ya</x:v>
      </x:c>
      <x:c r="M38" s="20" t="str">
        <x:v>Rundown Olimpiade Setelah Raker.xlsx</x:v>
      </x:c>
    </x:row>
    <x:row r="39">
      <x:c r="A39" s="20" t="str">
        <x:v>RUN-B-038</x:v>
      </x:c>
      <x:c r="B39" s="20" t="str">
        <x:v>B</x:v>
      </x:c>
      <x:c r="C39" s="20" t="str">
        <x:v>EVT-PLENARY</x:v>
      </x:c>
      <x:c r="D39" s="20" t="str">
        <x:v>Tamu Undangan</x:v>
      </x:c>
      <x:c r="E39" s="40" t="n">
        <x:v>46245</x:v>
      </x:c>
      <x:c r="F39" s="32" t="n">
        <x:v>46245.319444444445</x:v>
      </x:c>
      <x:c r="G39" s="32" t="n">
        <x:v>46245.39236111111</x:v>
      </x:c>
      <x:c r="H39" s="20" t="str">
        <x:v>Sarapan &amp; Persiapan Plenary — Lapangan parkir depan Raja Lanang</x:v>
      </x:c>
      <x:c r="I39" s="20" t="str">
        <x:v>Gedung Pertemuan</x:v>
      </x:c>
      <x:c r="J39" s="20" t="str"/>
      <x:c r="K39" s="20" t="str"/>
      <x:c r="L39" s="20" t="str">
        <x:v>Ya</x:v>
      </x:c>
      <x:c r="M39" s="20" t="str">
        <x:v>Rundown Olimpiade Setelah Raker.xlsx</x:v>
      </x:c>
    </x:row>
    <x:row r="40">
      <x:c r="A40" s="20" t="str">
        <x:v>RUN-B-039</x:v>
      </x:c>
      <x:c r="B40" s="20" t="str">
        <x:v>B</x:v>
      </x:c>
      <x:c r="C40" s="20" t="str">
        <x:v>EVT-PLENARY</x:v>
      </x:c>
      <x:c r="D40" s="20" t="str">
        <x:v>Tamu Undangan</x:v>
      </x:c>
      <x:c r="E40" s="40" t="n">
        <x:v>46245</x:v>
      </x:c>
      <x:c r="F40" s="32" t="n">
        <x:v>46245.39236111111</x:v>
      </x:c>
      <x:c r="G40" s="32" t="n">
        <x:v>46245.40625</x:v>
      </x:c>
      <x:c r="H40" s="20" t="str">
        <x:v>Kedatangan tamu undangan di Acara Plenary Session</x:v>
      </x:c>
      <x:c r="I40" s="20" t="str">
        <x:v>Gedung Pertemuan</x:v>
      </x:c>
      <x:c r="J40" s="20" t="str"/>
      <x:c r="K40" s="20" t="str"/>
      <x:c r="L40" s="20" t="str">
        <x:v>Ya</x:v>
      </x:c>
      <x:c r="M40" s="20" t="str">
        <x:v>Rundown Olimpiade Setelah Raker.xlsx</x:v>
      </x:c>
    </x:row>
    <x:row r="41">
      <x:c r="A41" s="20" t="str">
        <x:v>RUN-B-040</x:v>
      </x:c>
      <x:c r="B41" s="20" t="str">
        <x:v>B</x:v>
      </x:c>
      <x:c r="C41" s="20" t="str">
        <x:v>EVT-PLENARY</x:v>
      </x:c>
      <x:c r="D41" s="20" t="str">
        <x:v>Tamu Undangan</x:v>
      </x:c>
      <x:c r="E41" s="40" t="n">
        <x:v>46245</x:v>
      </x:c>
      <x:c r="F41" s="32" t="n">
        <x:v>46245.40625</x:v>
      </x:c>
      <x:c r="G41" s="32" t="n">
        <x:v>46245.48611111111</x:v>
      </x:c>
      <x:c r="H41" s="20" t="str">
        <x:v>Mengikuti Plenary Session (rincian: lihat jalur Tamu VIP)</x:v>
      </x:c>
      <x:c r="I41" s="20" t="str">
        <x:v>Gedung Pertemuan</x:v>
      </x:c>
      <x:c r="J41" s="20" t="str"/>
      <x:c r="K41" s="20" t="str"/>
      <x:c r="L41" s="20" t="str">
        <x:v>Ya</x:v>
      </x:c>
      <x:c r="M41" s="20" t="str">
        <x:v>Rundown Olimpiade Setelah Raker.xlsx</x:v>
      </x:c>
    </x:row>
    <x:row r="42">
      <x:c r="A42" s="20" t="str">
        <x:v>RUN-B-041</x:v>
      </x:c>
      <x:c r="B42" s="20" t="str">
        <x:v>B</x:v>
      </x:c>
      <x:c r="C42" s="20" t="str">
        <x:v>EVT-ISHOMA</x:v>
      </x:c>
      <x:c r="D42" s="20" t="str">
        <x:v>Tamu Undangan</x:v>
      </x:c>
      <x:c r="E42" s="40" t="n">
        <x:v>46245</x:v>
      </x:c>
      <x:c r="F42" s="32" t="n">
        <x:v>46245.48611111111</x:v>
      </x:c>
      <x:c r="G42" s="32" t="n">
        <x:v>46245.5625</x:v>
      </x:c>
      <x:c r="H42" s="20" t="str">
        <x:v>Ishoma</x:v>
      </x:c>
      <x:c r="I42" s="20" t="str">
        <x:v>Tenda Makan di Gedung Pertemuan</x:v>
      </x:c>
      <x:c r="J42" s="20" t="str"/>
      <x:c r="K42" s="20" t="str"/>
      <x:c r="L42" s="20" t="str">
        <x:v>Ya</x:v>
      </x:c>
      <x:c r="M42" s="20" t="str">
        <x:v>Rundown Olimpiade Setelah Raker.xlsx</x:v>
      </x:c>
    </x:row>
    <x:row r="43">
      <x:c r="A43" s="20" t="str">
        <x:v>RUN-B-042</x:v>
      </x:c>
      <x:c r="B43" s="20" t="str">
        <x:v>B</x:v>
      </x:c>
      <x:c r="C43" s="20" t="str">
        <x:v>EVT-RAKER</x:v>
      </x:c>
      <x:c r="D43" s="20" t="str">
        <x:v>Tamu Undangan</x:v>
      </x:c>
      <x:c r="E43" s="40" t="n">
        <x:v>46245</x:v>
      </x:c>
      <x:c r="F43" s="32" t="n">
        <x:v>46245.5625</x:v>
      </x:c>
      <x:c r="G43" s="32" t="n">
        <x:v>46245.583333333336</x:v>
      </x:c>
      <x:c r="H43" s="20" t="str">
        <x:v>Persiapan Raker</x:v>
      </x:c>
      <x:c r="I43" s="20" t="str">
        <x:v>Tenda di sebelah Gedung Pertemuan</x:v>
      </x:c>
      <x:c r="J43" s="20" t="str"/>
      <x:c r="K43" s="20" t="str"/>
      <x:c r="L43" s="20" t="str">
        <x:v>Ya</x:v>
      </x:c>
      <x:c r="M43" s="20" t="str">
        <x:v>Rundown Olimpiade Setelah Raker.xlsx</x:v>
      </x:c>
    </x:row>
    <x:row r="44">
      <x:c r="A44" s="20" t="str">
        <x:v>RUN-B-043</x:v>
      </x:c>
      <x:c r="B44" s="20" t="str">
        <x:v>B</x:v>
      </x:c>
      <x:c r="C44" s="20" t="str">
        <x:v>EVT-RAKER</x:v>
      </x:c>
      <x:c r="D44" s="20" t="str">
        <x:v>Tamu Undangan</x:v>
      </x:c>
      <x:c r="E44" s="40" t="n">
        <x:v>46245</x:v>
      </x:c>
      <x:c r="F44" s="32" t="n">
        <x:v>46245.583333333336</x:v>
      </x:c>
      <x:c r="G44" s="32" t="n">
        <x:v>46245.586805555555</x:v>
      </x:c>
      <x:c r="H44" s="20" t="str">
        <x:v>Pembukaan MC</x:v>
      </x:c>
      <x:c r="I44" s="20" t="str">
        <x:v>Tenda di sebelah Gedung Pertemuan</x:v>
      </x:c>
      <x:c r="J44" s="20" t="str"/>
      <x:c r="K44" s="20" t="str"/>
      <x:c r="L44" s="20" t="str">
        <x:v>Ya</x:v>
      </x:c>
      <x:c r="M44" s="20" t="str">
        <x:v>Rundown Olimpiade Setelah Raker.xlsx</x:v>
      </x:c>
    </x:row>
    <x:row r="45">
      <x:c r="A45" s="20" t="str">
        <x:v>RUN-B-044</x:v>
      </x:c>
      <x:c r="B45" s="20" t="str">
        <x:v>B</x:v>
      </x:c>
      <x:c r="C45" s="20" t="str">
        <x:v>EVT-RAKER</x:v>
      </x:c>
      <x:c r="D45" s="20" t="str">
        <x:v>Tamu Undangan</x:v>
      </x:c>
      <x:c r="E45" s="40" t="n">
        <x:v>46245</x:v>
      </x:c>
      <x:c r="F45" s="32" t="n">
        <x:v>46245.586805555555</x:v>
      </x:c>
      <x:c r="G45" s="32" t="n">
        <x:v>46245.600694444445</x:v>
      </x:c>
      <x:c r="H45" s="20" t="str">
        <x:v>Keynote Speech Dirut PI &amp; sesi foto bersama</x:v>
      </x:c>
      <x:c r="I45" s="20" t="str">
        <x:v>Tenda di sebelah Gedung Pertemuan</x:v>
      </x:c>
      <x:c r="J45" s="20" t="str"/>
      <x:c r="K45" s="20" t="str"/>
      <x:c r="L45" s="20" t="str">
        <x:v>Ya</x:v>
      </x:c>
      <x:c r="M45" s="20" t="str">
        <x:v>Rundown Olimpiade Setelah Raker.xlsx</x:v>
      </x:c>
    </x:row>
    <x:row r="46">
      <x:c r="A46" s="20" t="str">
        <x:v>RUN-B-045</x:v>
      </x:c>
      <x:c r="B46" s="20" t="str">
        <x:v>B</x:v>
      </x:c>
      <x:c r="C46" s="20" t="str">
        <x:v>EVT-RAKER</x:v>
      </x:c>
      <x:c r="D46" s="20" t="str">
        <x:v>Tamu Undangan</x:v>
      </x:c>
      <x:c r="E46" s="40" t="n">
        <x:v>46245</x:v>
      </x:c>
      <x:c r="F46" s="32" t="n">
        <x:v>46245.600694444445</x:v>
      </x:c>
      <x:c r="G46" s="32" t="n">
        <x:v>46245.62847222222</x:v>
      </x:c>
      <x:c r="H46" s="20" t="str">
        <x:v>Topik: Operation Excellence — diskusi dan kesimpulan</x:v>
      </x:c>
      <x:c r="I46" s="20" t="str">
        <x:v>Tenda di sebelah Gedung Pertemuan</x:v>
      </x:c>
      <x:c r="J46" s="20" t="str"/>
      <x:c r="K46" s="20" t="str"/>
      <x:c r="L46" s="20" t="str">
        <x:v>Ya</x:v>
      </x:c>
      <x:c r="M46" s="20" t="str">
        <x:v>Rundown Olimpiade Setelah Raker.xlsx</x:v>
      </x:c>
    </x:row>
    <x:row r="47">
      <x:c r="A47" s="20" t="str">
        <x:v>RUN-B-046</x:v>
      </x:c>
      <x:c r="B47" s="20" t="str">
        <x:v>B</x:v>
      </x:c>
      <x:c r="C47" s="20" t="str">
        <x:v>EVT-RAKER</x:v>
      </x:c>
      <x:c r="D47" s="20" t="str">
        <x:v>Tamu Undangan</x:v>
      </x:c>
      <x:c r="E47" s="40" t="n">
        <x:v>46245</x:v>
      </x:c>
      <x:c r="F47" s="32" t="n">
        <x:v>46245.62847222222</x:v>
      </x:c>
      <x:c r="G47" s="32" t="n">
        <x:v>46245.65625</x:v>
      </x:c>
      <x:c r="H47" s="20" t="str">
        <x:v>Topik: Keuangan — diskusi dan kesimpulan</x:v>
      </x:c>
      <x:c r="I47" s="20" t="str">
        <x:v>Tenda di sebelah Gedung Pertemuan</x:v>
      </x:c>
      <x:c r="J47" s="20" t="str"/>
      <x:c r="K47" s="20" t="str"/>
      <x:c r="L47" s="20" t="str">
        <x:v>Ya</x:v>
      </x:c>
      <x:c r="M47" s="20" t="str">
        <x:v>Rundown Olimpiade Setelah Raker.xlsx</x:v>
      </x:c>
    </x:row>
    <x:row r="48">
      <x:c r="A48" s="20" t="str">
        <x:v>RUN-B-047</x:v>
      </x:c>
      <x:c r="B48" s="20" t="str">
        <x:v>B</x:v>
      </x:c>
      <x:c r="C48" s="20" t="str">
        <x:v>EVT-RAKER</x:v>
      </x:c>
      <x:c r="D48" s="20" t="str">
        <x:v>Tamu Undangan</x:v>
      </x:c>
      <x:c r="E48" s="40" t="n">
        <x:v>46245</x:v>
      </x:c>
      <x:c r="F48" s="32" t="n">
        <x:v>46245.65625</x:v>
      </x:c>
      <x:c r="G48" s="32" t="n">
        <x:v>46245.68402777778</x:v>
      </x:c>
      <x:c r="H48" s="20" t="str">
        <x:v>Topik: SDM, Umum &amp; TJSL — diskusi dan kesimpulan</x:v>
      </x:c>
      <x:c r="I48" s="20" t="str">
        <x:v>Tenda di sebelah Gedung Pertemuan</x:v>
      </x:c>
      <x:c r="J48" s="20" t="str"/>
      <x:c r="K48" s="20" t="str"/>
      <x:c r="L48" s="20" t="str">
        <x:v>Ya</x:v>
      </x:c>
      <x:c r="M48" s="20" t="str">
        <x:v>Rundown Olimpiade Setelah Raker.xlsx</x:v>
      </x:c>
    </x:row>
    <x:row r="49">
      <x:c r="A49" s="20" t="str">
        <x:v>RUN-B-048</x:v>
      </x:c>
      <x:c r="B49" s="20" t="str">
        <x:v>B</x:v>
      </x:c>
      <x:c r="C49" s="20" t="str">
        <x:v>EVT-RAKER</x:v>
      </x:c>
      <x:c r="D49" s="20" t="str">
        <x:v>Tamu Undangan</x:v>
      </x:c>
      <x:c r="E49" s="40" t="n">
        <x:v>46245</x:v>
      </x:c>
      <x:c r="F49" s="32" t="n">
        <x:v>46245.68402777778</x:v>
      </x:c>
      <x:c r="G49" s="32" t="n">
        <x:v>46245.711805555555</x:v>
      </x:c>
      <x:c r="H49" s="20" t="str">
        <x:v>Topik: Supply Chain — diskusi dan kesimpulan</x:v>
      </x:c>
      <x:c r="I49" s="20" t="str">
        <x:v>Tenda di sebelah Gedung Pertemuan</x:v>
      </x:c>
      <x:c r="J49" s="20" t="str"/>
      <x:c r="K49" s="20" t="str"/>
      <x:c r="L49" s="20" t="str">
        <x:v>Ya</x:v>
      </x:c>
      <x:c r="M49" s="20" t="str">
        <x:v>Rundown Olimpiade Setelah Raker.xlsx</x:v>
      </x:c>
    </x:row>
    <x:row r="50">
      <x:c r="A50" s="20" t="str">
        <x:v>RUN-B-049</x:v>
      </x:c>
      <x:c r="B50" s="20" t="str">
        <x:v>B</x:v>
      </x:c>
      <x:c r="C50" s="20" t="str">
        <x:v>EVT-RAKER</x:v>
      </x:c>
      <x:c r="D50" s="20" t="str">
        <x:v>Tamu Undangan</x:v>
      </x:c>
      <x:c r="E50" s="40" t="n">
        <x:v>46245</x:v>
      </x:c>
      <x:c r="F50" s="32" t="n">
        <x:v>46245.711805555555</x:v>
      </x:c>
      <x:c r="G50" s="32" t="n">
        <x:v>46245.739583333336</x:v>
      </x:c>
      <x:c r="H50" s="20" t="str">
        <x:v>Topik: Teknik dan Pengembangan Bisnis — diskusi dan kesimpulan</x:v>
      </x:c>
      <x:c r="I50" s="20" t="str">
        <x:v>Tenda di sebelah Gedung Pertemuan</x:v>
      </x:c>
      <x:c r="J50" s="20" t="str"/>
      <x:c r="K50" s="20" t="str"/>
      <x:c r="L50" s="20" t="str">
        <x:v>Ya</x:v>
      </x:c>
      <x:c r="M50" s="20" t="str">
        <x:v>Rundown Olimpiade Setelah Raker.xlsx</x:v>
      </x:c>
    </x:row>
    <x:row r="51">
      <x:c r="A51" s="20" t="str">
        <x:v>RUN-B-050</x:v>
      </x:c>
      <x:c r="B51" s="20" t="str">
        <x:v>B</x:v>
      </x:c>
      <x:c r="C51" s="20" t="str">
        <x:v>EVT-RAKER</x:v>
      </x:c>
      <x:c r="D51" s="20" t="str">
        <x:v>Tamu Undangan</x:v>
      </x:c>
      <x:c r="E51" s="40" t="n">
        <x:v>46245</x:v>
      </x:c>
      <x:c r="F51" s="32" t="n">
        <x:v>46245.739583333336</x:v>
      </x:c>
      <x:c r="G51" s="32" t="n">
        <x:v>46245.76736111111</x:v>
      </x:c>
      <x:c r="H51" s="20" t="str">
        <x:v>Topik: Manajemen Risiko — diskusi dan kesimpulan</x:v>
      </x:c>
      <x:c r="I51" s="20" t="str">
        <x:v>Tenda di sebelah Gedung Pertemuan</x:v>
      </x:c>
      <x:c r="J51" s="20" t="str"/>
      <x:c r="K51" s="20" t="str"/>
      <x:c r="L51" s="20" t="str">
        <x:v>Ya</x:v>
      </x:c>
      <x:c r="M51" s="20" t="str">
        <x:v>Rundown Olimpiade Setelah Raker.xlsx</x:v>
      </x:c>
    </x:row>
    <x:row r="52">
      <x:c r="A52" s="20" t="str">
        <x:v>RUN-B-051</x:v>
      </x:c>
      <x:c r="B52" s="20" t="str">
        <x:v>B</x:v>
      </x:c>
      <x:c r="C52" s="20" t="str">
        <x:v>EVT-GEN</x:v>
      </x:c>
      <x:c r="D52" s="20" t="str">
        <x:v>Tamu Undangan</x:v>
      </x:c>
      <x:c r="E52" s="40" t="n">
        <x:v>46245</x:v>
      </x:c>
      <x:c r="F52" s="32" t="n">
        <x:v>46245.76736111111</x:v>
      </x:c>
      <x:c r="G52" s="32" t="n">
        <x:v>46245.788194444445</x:v>
      </x:c>
      <x:c r="H52" s="20" t="str">
        <x:v>Break Maghrib</x:v>
      </x:c>
      <x:c r="I52" s="20" t="str"/>
      <x:c r="J52" s="20" t="str"/>
      <x:c r="K52" s="20" t="str"/>
      <x:c r="L52" s="20" t="str">
        <x:v>Ya</x:v>
      </x:c>
      <x:c r="M52" s="20" t="str">
        <x:v>Rundown Olimpiade Setelah Raker.xlsx</x:v>
      </x:c>
    </x:row>
    <x:row r="53">
      <x:c r="A53" s="20" t="str">
        <x:v>RUN-B-052</x:v>
      </x:c>
      <x:c r="B53" s="20" t="str">
        <x:v>B</x:v>
      </x:c>
      <x:c r="C53" s="20" t="str">
        <x:v>EVT-RAKER</x:v>
      </x:c>
      <x:c r="D53" s="20" t="str">
        <x:v>Tamu Undangan</x:v>
      </x:c>
      <x:c r="E53" s="40" t="n">
        <x:v>46245</x:v>
      </x:c>
      <x:c r="F53" s="32" t="n">
        <x:v>46245.788194444445</x:v>
      </x:c>
      <x:c r="G53" s="32" t="n">
        <x:v>46245.81597222222</x:v>
      </x:c>
      <x:c r="H53" s="20" t="str">
        <x:v>Topik: Manajemen Aset — diskusi dan kesimpulan</x:v>
      </x:c>
      <x:c r="I53" s="20" t="str">
        <x:v>Tenda di sebelah Gedung Pertemuan</x:v>
      </x:c>
      <x:c r="J53" s="20" t="str"/>
      <x:c r="K53" s="20" t="str"/>
      <x:c r="L53" s="20" t="str">
        <x:v>Ya</x:v>
      </x:c>
      <x:c r="M53" s="20" t="str">
        <x:v>Rundown Olimpiade Setelah Raker.xlsx</x:v>
      </x:c>
    </x:row>
    <x:row r="54">
      <x:c r="A54" s="20" t="str">
        <x:v>RUN-B-053</x:v>
      </x:c>
      <x:c r="B54" s="20" t="str">
        <x:v>B</x:v>
      </x:c>
      <x:c r="C54" s="20" t="str">
        <x:v>EVT-RAKER</x:v>
      </x:c>
      <x:c r="D54" s="20" t="str">
        <x:v>Tamu Undangan</x:v>
      </x:c>
      <x:c r="E54" s="40" t="n">
        <x:v>46245</x:v>
      </x:c>
      <x:c r="F54" s="32" t="n">
        <x:v>46245.81597222222</x:v>
      </x:c>
      <x:c r="G54" s="32" t="n">
        <x:v>46245.822916666664</x:v>
      </x:c>
      <x:c r="H54" s="20" t="str">
        <x:v>Finalisasi &amp; penandatanganan hasil kesepakatan Raker RKAP 2027</x:v>
      </x:c>
      <x:c r="I54" s="20" t="str">
        <x:v>Tenda di sebelah Gedung Pertemuan</x:v>
      </x:c>
      <x:c r="J54" s="20" t="str"/>
      <x:c r="K54" s="20" t="str"/>
      <x:c r="L54" s="20" t="str">
        <x:v>Ya</x:v>
      </x:c>
      <x:c r="M54" s="20" t="str">
        <x:v>Rundown Olimpiade Setelah Raker.xlsx</x:v>
      </x:c>
    </x:row>
    <x:row r="55">
      <x:c r="A55" s="20" t="str">
        <x:v>RUN-B-054</x:v>
      </x:c>
      <x:c r="B55" s="20" t="str">
        <x:v>B</x:v>
      </x:c>
      <x:c r="C55" s="20" t="str">
        <x:v>EVT-ISHOMA</x:v>
      </x:c>
      <x:c r="D55" s="20" t="str">
        <x:v>Tamu Undangan</x:v>
      </x:c>
      <x:c r="E55" s="40" t="n">
        <x:v>46245</x:v>
      </x:c>
      <x:c r="F55" s="32" t="n">
        <x:v>46245.822916666664</x:v>
      </x:c>
      <x:c r="G55" s="32" t="n">
        <x:v>46245.836805555555</x:v>
      </x:c>
      <x:c r="H55" s="20" t="str">
        <x:v>Selesai — persiapan Dinner</x:v>
      </x:c>
      <x:c r="I55" s="20" t="str">
        <x:v>Tenda Makan di Gedung Pertemuan</x:v>
      </x:c>
      <x:c r="J55" s="20" t="str"/>
      <x:c r="K55" s="20" t="str"/>
      <x:c r="L55" s="20" t="str">
        <x:v>Ya</x:v>
      </x:c>
      <x:c r="M55" s="20" t="str">
        <x:v>Rundown Olimpiade Setelah Raker.xlsx</x:v>
      </x:c>
    </x:row>
    <x:row r="56">
      <x:c r="A56" s="20" t="str">
        <x:v>RUN-B-055</x:v>
      </x:c>
      <x:c r="B56" s="20" t="str">
        <x:v>B</x:v>
      </x:c>
      <x:c r="C56" s="20" t="str">
        <x:v>EVT-ISHOMA</x:v>
      </x:c>
      <x:c r="D56" s="20" t="str">
        <x:v>Tamu Undangan</x:v>
      </x:c>
      <x:c r="E56" s="40" t="n">
        <x:v>46245</x:v>
      </x:c>
      <x:c r="F56" s="32" t="n">
        <x:v>46245.836805555555</x:v>
      </x:c>
      <x:c r="G56" s="32" t="n">
        <x:v>46245.864583333336</x:v>
      </x:c>
      <x:c r="H56" s="20" t="str">
        <x:v>Dinner</x:v>
      </x:c>
      <x:c r="I56" s="20" t="str">
        <x:v>Tenda Makan di Gedung Pertemuan</x:v>
      </x:c>
      <x:c r="J56" s="20" t="str"/>
      <x:c r="K56" s="20" t="str"/>
      <x:c r="L56" s="20" t="str">
        <x:v>Ya</x:v>
      </x:c>
      <x:c r="M56" s="20" t="str">
        <x:v>Rundown Olimpiade Setelah Raker.xlsx</x:v>
      </x:c>
    </x:row>
    <x:row r="57">
      <x:c r="A57" s="20" t="str">
        <x:v>RUN-B-056</x:v>
      </x:c>
      <x:c r="B57" s="20" t="str">
        <x:v>B</x:v>
      </x:c>
      <x:c r="C57" s="20" t="str">
        <x:v>EVT-GEN</x:v>
      </x:c>
      <x:c r="D57" s="20" t="str">
        <x:v>Tamu Undangan</x:v>
      </x:c>
      <x:c r="E57" s="40" t="n">
        <x:v>46245</x:v>
      </x:c>
      <x:c r="F57" s="32" t="n">
        <x:v>46245.864583333336</x:v>
      </x:c>
      <x:c r="G57" s="32" t="n">
        <x:v>46246.270833333336</x:v>
      </x:c>
      <x:c r="H57" s="20" t="str">
        <x:v>Istirahat</x:v>
      </x:c>
      <x:c r="I57" s="20" t="str"/>
      <x:c r="J57" s="20" t="str"/>
      <x:c r="K57" s="20" t="str"/>
      <x:c r="L57" s="20" t="str">
        <x:v>Ya</x:v>
      </x:c>
      <x:c r="M57" s="20" t="str">
        <x:v>Rundown Olimpiade Setelah Raker.xlsx</x:v>
      </x:c>
    </x:row>
    <x:row r="58">
      <x:c r="A58" s="20" t="str">
        <x:v>RUN-B-057</x:v>
      </x:c>
      <x:c r="B58" s="20" t="str">
        <x:v>B</x:v>
      </x:c>
      <x:c r="C58" s="20" t="str">
        <x:v>EVT-GEN</x:v>
      </x:c>
      <x:c r="D58" s="20" t="str">
        <x:v>Tamu Undangan</x:v>
      </x:c>
      <x:c r="E58" s="40" t="n">
        <x:v>46246</x:v>
      </x:c>
      <x:c r="F58" s="32" t="n">
        <x:v>46246.270833333336</x:v>
      </x:c>
      <x:c r="G58" s="32" t="n">
        <x:v>46246.395833333336</x:v>
      </x:c>
      <x:c r="H58" s="20" t="str">
        <x:v>Sarapan &amp; persiapan kepulangan</x:v>
      </x:c>
      <x:c r="I58" s="20" t="str"/>
      <x:c r="J58" s="20" t="str"/>
      <x:c r="K58" s="20" t="str"/>
      <x:c r="L58" s="20" t="str">
        <x:v>Ya</x:v>
      </x:c>
      <x:c r="M58" s="20" t="str">
        <x:v>Rundown Olimpiade Setelah Raker.xlsx</x:v>
      </x:c>
    </x:row>
    <x:row r="59">
      <x:c r="A59" s="20" t="str">
        <x:v>RUN-B-058</x:v>
      </x:c>
      <x:c r="B59" s="20" t="str">
        <x:v>B</x:v>
      </x:c>
      <x:c r="C59" s="20" t="str">
        <x:v>EVT-TRANS</x:v>
      </x:c>
      <x:c r="D59" s="20" t="str">
        <x:v>Tamu Undangan</x:v>
      </x:c>
      <x:c r="E59" s="40" t="n">
        <x:v>46246</x:v>
      </x:c>
      <x:c r="F59" s="32" t="n">
        <x:v>46246.395833333336</x:v>
      </x:c>
      <x:c r="G59" s="32" t="n">
        <x:v>46246.416666666664</x:v>
      </x:c>
      <x:c r="H59" s="20" t="str">
        <x:v>Perjalanan menuju Bandara Malikussaleh</x:v>
      </x:c>
      <x:c r="I59" s="20" t="str">
        <x:v>Bandara / Rute Lokal</x:v>
      </x:c>
      <x:c r="J59" s="20" t="str"/>
      <x:c r="K59" s="20" t="str"/>
      <x:c r="L59" s="20" t="str">
        <x:v>Ya</x:v>
      </x:c>
      <x:c r="M59" s="20" t="str">
        <x:v>Rundown Olimpiade Setelah Raker.xlsx</x:v>
      </x:c>
    </x:row>
    <x:row r="60">
      <x:c r="A60" s="20" t="str">
        <x:v>RUN-B-059</x:v>
      </x:c>
      <x:c r="B60" s="20" t="str">
        <x:v>B</x:v>
      </x:c>
      <x:c r="C60" s="20" t="str">
        <x:v>EVT-TRANS</x:v>
      </x:c>
      <x:c r="D60" s="20" t="str">
        <x:v>Tamu Undangan</x:v>
      </x:c>
      <x:c r="E60" s="40" t="n">
        <x:v>46246</x:v>
      </x:c>
      <x:c r="F60" s="32" t="n">
        <x:v>46246.416666666664</x:v>
      </x:c>
      <x:c r="G60" s="32" t="n">
        <x:v>46246.52777777778</x:v>
      </x:c>
      <x:c r="H60" s="20" t="str">
        <x:v>Flight LSW–CGK (komersil — full book seat, jadwal TBC)</x:v>
      </x:c>
      <x:c r="I60" s="20" t="str">
        <x:v>Bandara / Rute Lokal</x:v>
      </x:c>
      <x:c r="J60" s="20" t="str"/>
      <x:c r="K60" s="20" t="str"/>
      <x:c r="L60" s="20" t="str">
        <x:v>Ya</x:v>
      </x:c>
      <x:c r="M60" s="20" t="str">
        <x:v>Rundown Olimpiade Setelah Raker.xlsx</x:v>
      </x:c>
    </x:row>
    <x:row r="61">
      <x:c r="A61" s="20" t="str">
        <x:v>RUN-B-060</x:v>
      </x:c>
      <x:c r="B61" s="20" t="str">
        <x:v>B</x:v>
      </x:c>
      <x:c r="C61" s="20" t="str">
        <x:v>EVT-TRANS</x:v>
      </x:c>
      <x:c r="D61" s="20" t="str">
        <x:v>Tamu Undangan</x:v>
      </x:c>
      <x:c r="E61" s="40" t="n">
        <x:v>46246</x:v>
      </x:c>
      <x:c r="F61" s="32" t="n">
        <x:v>46246.52777777778</x:v>
      </x:c>
      <x:c r="G61" s="32" t="n">
        <x:v>46246.52777777778</x:v>
      </x:c>
      <x:c r="H61" s="20" t="str">
        <x:v>Tiba di Jakarta — Selesai</x:v>
      </x:c>
      <x:c r="I61" s="20" t="str">
        <x:v>Bandara / Rute Lokal</x:v>
      </x:c>
      <x:c r="J61" s="20" t="str"/>
      <x:c r="K61" s="20" t="str"/>
      <x:c r="L61" s="20" t="str">
        <x:v>Ya</x:v>
      </x:c>
      <x:c r="M61" s="20" t="str">
        <x:v>Rundown Olimpiade Setelah Raker.xlsx</x:v>
      </x:c>
    </x:row>
    <x:row r="62">
      <x:c r="A62" s="20" t="str">
        <x:v>RUN-B-061</x:v>
      </x:c>
      <x:c r="B62" s="20" t="str">
        <x:v>B</x:v>
      </x:c>
      <x:c r="C62" s="20" t="str">
        <x:v>EVT-KONS</x:v>
      </x:c>
      <x:c r="D62" s="20" t="str">
        <x:v>Rapat Konsultasi &amp; Pengawasan</x:v>
      </x:c>
      <x:c r="E62" s="40" t="n">
        <x:v>46245</x:v>
      </x:c>
      <x:c r="F62" s="32" t="n">
        <x:v>46245.62152777778</x:v>
      </x:c>
      <x:c r="G62" s="32" t="n">
        <x:v>46245.677083333336</x:v>
      </x:c>
      <x:c r="H62" s="20" t="str">
        <x:v>Batch 1: Petrokimia Gresik, Pupuk Kujang, Pupuk Kaltim</x:v>
      </x:c>
      <x:c r="I62" s="20" t="str">
        <x:v>Ruang Teuku Umar</x:v>
      </x:c>
      <x:c r="J62" s="20" t="str"/>
      <x:c r="K62" s="20" t="str"/>
      <x:c r="L62" s="20" t="str">
        <x:v>Ya</x:v>
      </x:c>
      <x:c r="M62" s="20" t="str">
        <x:v>Rundown Olimpiade Setelah Raker.xlsx</x:v>
      </x:c>
    </x:row>
    <x:row r="63">
      <x:c r="A63" s="20" t="str">
        <x:v>RUN-B-062</x:v>
      </x:c>
      <x:c r="B63" s="20" t="str">
        <x:v>B</x:v>
      </x:c>
      <x:c r="C63" s="20" t="str">
        <x:v>EVT-KONS</x:v>
      </x:c>
      <x:c r="D63" s="20" t="str">
        <x:v>Rapat Konsultasi &amp; Pengawasan</x:v>
      </x:c>
      <x:c r="E63" s="40" t="n">
        <x:v>46245</x:v>
      </x:c>
      <x:c r="F63" s="32" t="n">
        <x:v>46245.677083333336</x:v>
      </x:c>
      <x:c r="G63" s="32" t="n">
        <x:v>46245.73263888889</x:v>
      </x:c>
      <x:c r="H63" s="20" t="str">
        <x:v>Batch 2: Pupuk Iskandar Muda, Pupuk Sriwidjaja Palembang, Rekayasa Industri</x:v>
      </x:c>
      <x:c r="I63" s="20" t="str">
        <x:v>Ruang Teuku Umar</x:v>
      </x:c>
      <x:c r="J63" s="20" t="str"/>
      <x:c r="K63" s="20" t="str"/>
      <x:c r="L63" s="20" t="str">
        <x:v>Ya</x:v>
      </x:c>
      <x:c r="M63" s="20" t="str">
        <x:v>Rundown Olimpiade Setelah Raker.xlsx</x:v>
      </x:c>
    </x:row>
    <x:row r="64">
      <x:c r="A64" s="20" t="str">
        <x:v>RUN-B-063</x:v>
      </x:c>
      <x:c r="B64" s="20" t="str">
        <x:v>B</x:v>
      </x:c>
      <x:c r="C64" s="20" t="str">
        <x:v>EVT-KONS</x:v>
      </x:c>
      <x:c r="D64" s="20" t="str">
        <x:v>Rapat Konsultasi &amp; Pengawasan</x:v>
      </x:c>
      <x:c r="E64" s="40" t="n">
        <x:v>46245</x:v>
      </x:c>
      <x:c r="F64" s="32" t="n">
        <x:v>46245.73263888889</x:v>
      </x:c>
      <x:c r="G64" s="32" t="n">
        <x:v>46245.788194444445</x:v>
      </x:c>
      <x:c r="H64" s="20" t="str">
        <x:v>Batch 3: Pupuk Indonesia Niaga, Pupuk Indonesia Logistik, Pupuk Indonesia Pangan</x:v>
      </x:c>
      <x:c r="I64" s="20" t="str">
        <x:v>Ruang Teuku Umar</x:v>
      </x:c>
      <x:c r="J64" s="20" t="str"/>
      <x:c r="K64" s="20" t="str"/>
      <x:c r="L64" s="20" t="str">
        <x:v>Ya</x:v>
      </x:c>
      <x:c r="M64" s="20" t="str">
        <x:v>Rundown Olimpiade Setelah Raker.xlsx</x:v>
      </x:c>
    </x:row>
    <x:row r="65">
      <x:c r="A65" s="20" t="str">
        <x:v>RUN-B-064</x:v>
      </x:c>
      <x:c r="B65" s="20" t="str">
        <x:v>B</x:v>
      </x:c>
      <x:c r="C65" s="20" t="str">
        <x:v>EVT-KONS</x:v>
      </x:c>
      <x:c r="D65" s="20" t="str">
        <x:v>Rapat Konsultasi &amp; Pengawasan</x:v>
      </x:c>
      <x:c r="E65" s="40" t="n">
        <x:v>46245</x:v>
      </x:c>
      <x:c r="F65" s="32" t="n">
        <x:v>46245.788194444445</x:v>
      </x:c>
      <x:c r="G65" s="32" t="n">
        <x:v>46245.788194444445</x:v>
      </x:c>
      <x:c r="H65" s="20" t="str">
        <x:v>Selesai</x:v>
      </x:c>
      <x:c r="I65" s="20" t="str">
        <x:v>Ruang Teuku Umar</x:v>
      </x:c>
      <x:c r="J65" s="20" t="str"/>
      <x:c r="K65" s="20" t="str"/>
      <x:c r="L65" s="20" t="str">
        <x:v>Ya</x:v>
      </x:c>
      <x:c r="M65" s="20" t="str">
        <x:v>Rundown Olimpiade Setelah Raker.xlsx</x:v>
      </x:c>
    </x:row>
    <x:row r="66">
      <x:c r="A66" s="20" t="str">
        <x:v>RUN-B-065</x:v>
      </x:c>
      <x:c r="B66" s="20" t="str">
        <x:v>B</x:v>
      </x:c>
      <x:c r="C66" s="20" t="str">
        <x:v>EVT-OLIM</x:v>
      </x:c>
      <x:c r="D66" s="20" t="str">
        <x:v>Olimpiade Pi Group</x:v>
      </x:c>
      <x:c r="E66" s="40" t="n">
        <x:v>46245</x:v>
      </x:c>
      <x:c r="F66" s="32" t="n">
        <x:v>46245.51388888889</x:v>
      </x:c>
      <x:c r="G66" s="32" t="n">
        <x:v>46245.8125</x:v>
      </x:c>
      <x:c r="H66" s="20" t="str">
        <x:v>Persiapan Final Bulutangkis Olimpiade PI Group</x:v>
      </x:c>
      <x:c r="I66" s="20" t="str">
        <x:v>Gedung Pertemuan</x:v>
      </x:c>
      <x:c r="J66" s="20" t="str"/>
      <x:c r="K66" s="20" t="str"/>
      <x:c r="L66" s="20" t="str">
        <x:v>Ya</x:v>
      </x:c>
      <x:c r="M66" s="20" t="str">
        <x:v>Rundown Olimpiade Setelah Raker.xlsx</x:v>
      </x:c>
    </x:row>
    <x:row r="67">
      <x:c r="A67" s="20" t="str">
        <x:v>RUN-B-066</x:v>
      </x:c>
      <x:c r="B67" s="20" t="str">
        <x:v>B</x:v>
      </x:c>
      <x:c r="C67" s="20" t="str">
        <x:v>EVT-OLIM</x:v>
      </x:c>
      <x:c r="D67" s="20" t="str">
        <x:v>Olimpiade Pi Group</x:v>
      </x:c>
      <x:c r="E67" s="40" t="n">
        <x:v>46245</x:v>
      </x:c>
      <x:c r="F67" s="32" t="n">
        <x:v>46245.8125</x:v>
      </x:c>
      <x:c r="G67" s="32" t="n">
        <x:v>46245.819444444445</x:v>
      </x:c>
      <x:c r="H67" s="20" t="str">
        <x:v>Pembukaan MC dan Safety Briefing</x:v>
      </x:c>
      <x:c r="I67" s="20" t="str">
        <x:v>Gedung Pertemuan</x:v>
      </x:c>
      <x:c r="J67" s="20" t="str"/>
      <x:c r="K67" s="20" t="str"/>
      <x:c r="L67" s="20" t="str">
        <x:v>Ya</x:v>
      </x:c>
      <x:c r="M67" s="20" t="str">
        <x:v>Rundown Olimpiade Setelah Raker.xlsx</x:v>
      </x:c>
    </x:row>
    <x:row r="68">
      <x:c r="A68" s="20" t="str">
        <x:v>RUN-B-067</x:v>
      </x:c>
      <x:c r="B68" s="20" t="str">
        <x:v>B</x:v>
      </x:c>
      <x:c r="C68" s="20" t="str">
        <x:v>EVT-OLIM</x:v>
      </x:c>
      <x:c r="D68" s="20" t="str">
        <x:v>Olimpiade Pi Group</x:v>
      </x:c>
      <x:c r="E68" s="40" t="n">
        <x:v>46245</x:v>
      </x:c>
      <x:c r="F68" s="32" t="n">
        <x:v>46245.819444444445</x:v>
      </x:c>
      <x:c r="G68" s="32" t="n">
        <x:v>46245.93402777778</x:v>
      </x:c>
      <x:c r="H68" s="20" t="str">
        <x:v>Final Badminton Olimpiade PI Group</x:v>
      </x:c>
      <x:c r="I68" s="20" t="str">
        <x:v>Gedung Pertemuan</x:v>
      </x:c>
      <x:c r="J68" s="20" t="str"/>
      <x:c r="K68" s="20" t="str"/>
      <x:c r="L68" s="20" t="str">
        <x:v>Ya</x:v>
      </x:c>
      <x:c r="M68" s="20" t="str">
        <x:v>Rundown Olimpiade Setelah Raker.xlsx</x:v>
      </x:c>
    </x:row>
    <x:row r="69">
      <x:c r="A69" s="20" t="str">
        <x:v>RUN-B-068</x:v>
      </x:c>
      <x:c r="B69" s="20" t="str">
        <x:v>B</x:v>
      </x:c>
      <x:c r="C69" s="20" t="str">
        <x:v>EVT-OLIM</x:v>
      </x:c>
      <x:c r="D69" s="20" t="str">
        <x:v>Olimpiade Pi Group</x:v>
      </x:c>
      <x:c r="E69" s="40" t="n">
        <x:v>46245</x:v>
      </x:c>
      <x:c r="F69" s="32" t="n">
        <x:v>46245.93402777778</x:v>
      </x:c>
      <x:c r="G69" s="32" t="n">
        <x:v>46245.94097222222</x:v>
      </x:c>
      <x:c r="H69" s="20" t="str">
        <x:v>Entertainment by PIM art</x:v>
      </x:c>
      <x:c r="I69" s="20" t="str">
        <x:v>Gedung Pertemuan</x:v>
      </x:c>
      <x:c r="J69" s="20" t="str"/>
      <x:c r="K69" s="20" t="str"/>
      <x:c r="L69" s="20" t="str">
        <x:v>Ya</x:v>
      </x:c>
      <x:c r="M69" s="20" t="str">
        <x:v>Rundown Olimpiade Setelah Raker.xlsx</x:v>
      </x:c>
    </x:row>
    <x:row r="70">
      <x:c r="A70" s="20" t="str">
        <x:v>RUN-B-069</x:v>
      </x:c>
      <x:c r="B70" s="20" t="str">
        <x:v>B</x:v>
      </x:c>
      <x:c r="C70" s="20" t="str">
        <x:v>EVT-OLIM</x:v>
      </x:c>
      <x:c r="D70" s="20" t="str">
        <x:v>Olimpiade Pi Group</x:v>
      </x:c>
      <x:c r="E70" s="40" t="n">
        <x:v>46245</x:v>
      </x:c>
      <x:c r="F70" s="32" t="n">
        <x:v>46245.94097222222</x:v>
      </x:c>
      <x:c r="G70" s="32" t="n">
        <x:v>46245.961805555555</x:v>
      </x:c>
      <x:c r="H70" s="20" t="str">
        <x:v>Management Exhibition</x:v>
      </x:c>
      <x:c r="I70" s="20" t="str">
        <x:v>Gedung Pertemuan</x:v>
      </x:c>
      <x:c r="J70" s="20" t="str"/>
      <x:c r="K70" s="20" t="str"/>
      <x:c r="L70" s="20" t="str">
        <x:v>Ya</x:v>
      </x:c>
      <x:c r="M70" s="20" t="str">
        <x:v>Rundown Olimpiade Setelah Raker.xlsx</x:v>
      </x:c>
    </x:row>
    <x:row r="71">
      <x:c r="A71" s="20" t="str">
        <x:v>RUN-B-070</x:v>
      </x:c>
      <x:c r="B71" s="20" t="str">
        <x:v>B</x:v>
      </x:c>
      <x:c r="C71" s="20" t="str">
        <x:v>EVT-OLIM</x:v>
      </x:c>
      <x:c r="D71" s="20" t="str">
        <x:v>Olimpiade Pi Group</x:v>
      </x:c>
      <x:c r="E71" s="40" t="n">
        <x:v>46245</x:v>
      </x:c>
      <x:c r="F71" s="32" t="n">
        <x:v>46245.961805555555</x:v>
      </x:c>
      <x:c r="G71" s="32" t="n">
        <x:v>46245.98263888889</x:v>
      </x:c>
      <x:c r="H71" s="20" t="str">
        <x:v>Awarding &amp; Penutupan Badminton PI Group</x:v>
      </x:c>
      <x:c r="I71" s="20" t="str">
        <x:v>Gedung Pertemuan</x:v>
      </x:c>
      <x:c r="J71" s="20" t="str"/>
      <x:c r="K71" s="20" t="str"/>
      <x:c r="L71" s="20" t="str">
        <x:v>Ya</x:v>
      </x:c>
      <x:c r="M71" s="20" t="str">
        <x:v>Rundown Olimpiade Setelah Raker.xlsx</x:v>
      </x:c>
    </x:row>
  </x:sheetData>
  <x:dataValidations count="2">
    <x:dataValidation type="list" sqref="B2:B300">
      <x:formula1>Lists_Settings!$I$4:$I$7</x:formula1>
    </x:dataValidation>
    <x:dataValidation type="list" sqref="L2:L3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3cc2185e746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32" hidden="0" customWidth="1"/>
    <x:col min="5" max="5" width="18" hidden="0" customWidth="1"/>
    <x:col min="6" max="6" width="28" hidden="0" customWidth="1"/>
    <x:col min="7" max="7" width="10" hidden="0" customWidth="1"/>
    <x:col min="8" max="8" width="12" hidden="0" customWidth="1"/>
    <x:col min="9" max="9" width="20" hidden="0" customWidth="1"/>
    <x:col min="10" max="10" width="13" hidden="0" customWidth="1"/>
    <x:col min="11" max="11" width="38" hidden="0" customWidth="1"/>
    <x:col min="12" max="12" width="18" hidden="0" customWidth="1"/>
    <x:col min="13" max="13" width="16" hidden="0" customWidth="1"/>
    <x:col min="14" max="14" width="35" hidden="0" customWidth="1"/>
    <x:col min="15" max="15" width="16" hidden="0" customWidth="1"/>
    <x:col min="16" max="16" width="16" hidden="0" customWidth="1"/>
    <x:col min="17" max="17" width="36" hidden="0" customWidth="1"/>
  </x:cols>
  <x:sheetData>
    <x:row r="1" ht="30" customHeight="1">
      <x:c r="A1" s="14" t="str">
        <x:v>Accommodation ID</x:v>
      </x:c>
      <x:c r="B1" s="14" t="str">
        <x:v>Guest</x:v>
      </x:c>
      <x:c r="C1" s="14" t="str">
        <x:v>Position</x:v>
      </x:c>
      <x:c r="D1" s="14" t="str">
        <x:v>Company</x:v>
      </x:c>
      <x:c r="E1" s="14" t="str">
        <x:v>Accommodation Type</x:v>
      </x:c>
      <x:c r="F1" s="14" t="str">
        <x:v>Accommodation</x:v>
      </x:c>
      <x:c r="G1" s="14" t="str">
        <x:v>Room No.</x:v>
      </x:c>
      <x:c r="H1" s="14" t="str">
        <x:v>Bathroom</x:v>
      </x:c>
      <x:c r="I1" s="14" t="str">
        <x:v>Bed / Room Type</x:v>
      </x:c>
      <x:c r="J1" s="14" t="str">
        <x:v>Condition</x:v>
      </x:c>
      <x:c r="K1" s="14" t="str">
        <x:v>Source Readiness / Notes</x:v>
      </x:c>
      <x:c r="L1" s="14" t="str">
        <x:v>Readiness Category</x:v>
      </x:c>
      <x:c r="M1" s="14" t="str">
        <x:v>House Type</x:v>
      </x:c>
      <x:c r="N1" s="14" t="str">
        <x:v>Remarks</x:v>
      </x:c>
      <x:c r="O1" s="14" t="str">
        <x:v>Allocation Status</x:v>
      </x:c>
      <x:c r="P1" s="14" t="str">
        <x:v>Publish Allocation?</x:v>
      </x:c>
      <x:c r="Q1" s="14" t="str">
        <x:v>Source</x:v>
      </x:c>
    </x:row>
    <x:row r="2">
      <x:c r="A2" s="20" t="str">
        <x:v>ACC-R-001</x:v>
      </x:c>
      <x:c r="B2" s="20" t="str">
        <x:v>Rahmad Pribadi</x:v>
      </x:c>
      <x:c r="C2" s="20" t="str">
        <x:v>Direktur Utama</x:v>
      </x:c>
      <x:c r="D2" s="20" t="str">
        <x:v>PT Pupuk Indonesia (Persero)</x:v>
      </x:c>
      <x:c r="E2" s="20" t="str">
        <x:v>Rumah Komplek</x:v>
      </x:c>
      <x:c r="F2" s="20" t="str">
        <x:v>Mess Utama Raja Lanang 11</x:v>
      </x:c>
      <x:c r="G2" s="20" t="n">
        <x:v>1</x:v>
      </x:c>
      <x:c r="H2" s="20" t="str">
        <x:v>Dalam</x:v>
      </x:c>
      <x:c r="I2" s="20" t="str">
        <x:v>King Bed</x:v>
      </x:c>
      <x:c r="J2" s="20" t="str">
        <x:v>Baik</x:v>
      </x:c>
      <x:c r="K2" s="20" t="str">
        <x:v>Ready</x:v>
      </x:c>
      <x:c r="L2" s="20" t="str">
        <x:v>Ready</x:v>
      </x:c>
      <x:c r="M2" s="20" t="str">
        <x:v>Type A</x:v>
      </x:c>
      <x:c r="N2" s="20" t="str"/>
      <x:c r="O2" s="20" t="str">
        <x:v>Occupied</x:v>
      </x:c>
      <x:c r="P2" s="20" t="str">
        <x:v>Ya</x:v>
      </x:c>
      <x:c r="Q2" s="20" t="str">
        <x:v>Accommodation_Arrangement_UPDATED.xlsx</x:v>
      </x:c>
    </x:row>
    <x:row r="3">
      <x:c r="A3" s="20" t="str">
        <x:v>ACC-R-002</x:v>
      </x:c>
      <x:c r="B3" s="20" t="str">
        <x:v>Ninis Kesuma Adriani</x:v>
      </x:c>
      <x:c r="C3" s="20" t="str">
        <x:v>Direktur Manajemen Risiko</x:v>
      </x:c>
      <x:c r="D3" s="20" t="str">
        <x:v>PT Pupuk Indonesia (Persero)</x:v>
      </x:c>
      <x:c r="E3" s="20" t="str">
        <x:v>Rumah Komplek</x:v>
      </x:c>
      <x:c r="F3" s="20" t="str">
        <x:v>Mess Utama Raja Lanang 11</x:v>
      </x:c>
      <x:c r="G3" s="20" t="n">
        <x:v>2</x:v>
      </x:c>
      <x:c r="H3" s="20" t="str">
        <x:v>Dalam</x:v>
      </x:c>
      <x:c r="I3" s="20" t="str">
        <x:v>King Bed</x:v>
      </x:c>
      <x:c r="J3" s="20" t="str">
        <x:v>Baik</x:v>
      </x:c>
      <x:c r="K3" s="20" t="str">
        <x:v>Ready</x:v>
      </x:c>
      <x:c r="L3" s="20" t="str">
        <x:v>Ready</x:v>
      </x:c>
      <x:c r="M3" s="20" t="str">
        <x:v>Type A</x:v>
      </x:c>
      <x:c r="N3" s="20" t="str"/>
      <x:c r="O3" s="20" t="str">
        <x:v>Occupied</x:v>
      </x:c>
      <x:c r="P3" s="20" t="str">
        <x:v>Ya</x:v>
      </x:c>
      <x:c r="Q3" s="20" t="str">
        <x:v>Accommodation_Arrangement_UPDATED.xlsx</x:v>
      </x:c>
    </x:row>
    <x:row r="4">
      <x:c r="A4" s="20" t="str">
        <x:v>ACC-R-003</x:v>
      </x:c>
      <x:c r="B4" s="20" t="str">
        <x:v>Tina T. Kemala Intan</x:v>
      </x:c>
      <x:c r="C4" s="20" t="str">
        <x:v>Direktur Sumber Daya Manusia Dan Umum</x:v>
      </x:c>
      <x:c r="D4" s="20" t="str">
        <x:v>PT Pupuk Indonesia (Persero)</x:v>
      </x:c>
      <x:c r="E4" s="20" t="str">
        <x:v>Rumah Komplek</x:v>
      </x:c>
      <x:c r="F4" s="20" t="str">
        <x:v>Mess Utama Raja Lanang 11</x:v>
      </x:c>
      <x:c r="G4" s="20" t="n">
        <x:v>3</x:v>
      </x:c>
      <x:c r="H4" s="20" t="str">
        <x:v>Dalam</x:v>
      </x:c>
      <x:c r="I4" s="20" t="str">
        <x:v>King Bed</x:v>
      </x:c>
      <x:c r="J4" s="20" t="str">
        <x:v>Baik</x:v>
      </x:c>
      <x:c r="K4" s="20" t="str">
        <x:v>Ready</x:v>
      </x:c>
      <x:c r="L4" s="20" t="str">
        <x:v>Ready</x:v>
      </x:c>
      <x:c r="M4" s="20" t="str">
        <x:v>Type A</x:v>
      </x:c>
      <x:c r="N4" s="20" t="str"/>
      <x:c r="O4" s="20" t="str">
        <x:v>Occupied</x:v>
      </x:c>
      <x:c r="P4" s="20" t="str">
        <x:v>Ya</x:v>
      </x:c>
      <x:c r="Q4" s="20" t="str">
        <x:v>Accommodation_Arrangement_UPDATED.xlsx</x:v>
      </x:c>
    </x:row>
    <x:row r="5">
      <x:c r="A5" s="20" t="str">
        <x:v>ACC-R-004</x:v>
      </x:c>
      <x:c r="B5" s="20" t="str">
        <x:v>Dwi Satriyo Annurogo</x:v>
      </x:c>
      <x:c r="C5" s="20" t="str">
        <x:v>Direktur Operasi</x:v>
      </x:c>
      <x:c r="D5" s="20" t="str">
        <x:v>PT Pupuk Indonesia (Persero)</x:v>
      </x:c>
      <x:c r="E5" s="20" t="str">
        <x:v>Rumah Komplek</x:v>
      </x:c>
      <x:c r="F5" s="20" t="str">
        <x:v>Mess Utama Raja Lanang 11</x:v>
      </x:c>
      <x:c r="G5" s="20" t="n">
        <x:v>4</x:v>
      </x:c>
      <x:c r="H5" s="20" t="str">
        <x:v>Dalam</x:v>
      </x:c>
      <x:c r="I5" s="20" t="str">
        <x:v>King Bed</x:v>
      </x:c>
      <x:c r="J5" s="20" t="str">
        <x:v>Baik</x:v>
      </x:c>
      <x:c r="K5" s="20" t="str">
        <x:v>Ready</x:v>
      </x:c>
      <x:c r="L5" s="20" t="str">
        <x:v>Ready</x:v>
      </x:c>
      <x:c r="M5" s="20" t="str">
        <x:v>Type A</x:v>
      </x:c>
      <x:c r="N5" s="20" t="str"/>
      <x:c r="O5" s="20" t="str">
        <x:v>Occupied</x:v>
      </x:c>
      <x:c r="P5" s="20" t="str">
        <x:v>Ya</x:v>
      </x:c>
      <x:c r="Q5" s="20" t="str">
        <x:v>Accommodation_Arrangement_UPDATED.xlsx</x:v>
      </x:c>
    </x:row>
    <x:row r="6">
      <x:c r="A6" s="20" t="str">
        <x:v>ACC-R-005</x:v>
      </x:c>
      <x:c r="B6" s="20" t="str">
        <x:v>Jamsaton Nababan</x:v>
      </x:c>
      <x:c r="C6" s="20" t="str">
        <x:v>Direktur Teknik Dan Pengembangan Bisnis</x:v>
      </x:c>
      <x:c r="D6" s="20" t="str">
        <x:v>PT Pupuk Indonesia (Persero)</x:v>
      </x:c>
      <x:c r="E6" s="20" t="str">
        <x:v>Rumah Komplek</x:v>
      </x:c>
      <x:c r="F6" s="20" t="str">
        <x:v>Mess Utama Seulawah 54</x:v>
      </x:c>
      <x:c r="G6" s="20" t="n">
        <x:v>1</x:v>
      </x:c>
      <x:c r="H6" s="20" t="str">
        <x:v>Dalam</x:v>
      </x:c>
      <x:c r="I6" s="20" t="str">
        <x:v>King Bed</x:v>
      </x:c>
      <x:c r="J6" s="20" t="str">
        <x:v>Baik</x:v>
      </x:c>
      <x:c r="K6" s="20" t="str">
        <x:v>Ready</x:v>
      </x:c>
      <x:c r="L6" s="20" t="str">
        <x:v>Ready</x:v>
      </x:c>
      <x:c r="M6" s="20" t="str">
        <x:v>Type A</x:v>
      </x:c>
      <x:c r="N6" s="20" t="str"/>
      <x:c r="O6" s="20" t="str">
        <x:v>Occupied</x:v>
      </x:c>
      <x:c r="P6" s="20" t="str">
        <x:v>Ya</x:v>
      </x:c>
      <x:c r="Q6" s="20" t="str">
        <x:v>Accommodation_Arrangement_UPDATED.xlsx</x:v>
      </x:c>
    </x:row>
    <x:row r="7">
      <x:c r="A7" s="20" t="str">
        <x:v>ACC-R-006</x:v>
      </x:c>
      <x:c r="B7" s="20" t="str">
        <x:v>Wono Budi Tjahyono</x:v>
      </x:c>
      <x:c r="C7" s="20" t="str">
        <x:v>Direktur Keuangan</x:v>
      </x:c>
      <x:c r="D7" s="20" t="str">
        <x:v>PT Pupuk Indonesia (Persero)</x:v>
      </x:c>
      <x:c r="E7" s="20" t="str">
        <x:v>Rumah Komplek</x:v>
      </x:c>
      <x:c r="F7" s="20" t="str">
        <x:v>Mess Utama Seulawah 54</x:v>
      </x:c>
      <x:c r="G7" s="20" t="n">
        <x:v>2</x:v>
      </x:c>
      <x:c r="H7" s="20" t="str">
        <x:v>Dalam</x:v>
      </x:c>
      <x:c r="I7" s="20" t="str">
        <x:v>King Bed</x:v>
      </x:c>
      <x:c r="J7" s="20" t="str">
        <x:v>Baik</x:v>
      </x:c>
      <x:c r="K7" s="20" t="str">
        <x:v>Ready</x:v>
      </x:c>
      <x:c r="L7" s="20" t="str">
        <x:v>Ready</x:v>
      </x:c>
      <x:c r="M7" s="20" t="str">
        <x:v>Type A</x:v>
      </x:c>
      <x:c r="N7" s="20" t="str"/>
      <x:c r="O7" s="20" t="str">
        <x:v>Occupied</x:v>
      </x:c>
      <x:c r="P7" s="20" t="str">
        <x:v>Ya</x:v>
      </x:c>
      <x:c r="Q7" s="20" t="str">
        <x:v>Accommodation_Arrangement_UPDATED.xlsx</x:v>
      </x:c>
    </x:row>
    <x:row r="8">
      <x:c r="A8" s="20" t="str">
        <x:v>ACC-R-007</x:v>
      </x:c>
      <x:c r="B8" s="20" t="str">
        <x:v>Tri Wahyudi Saleh</x:v>
      </x:c>
      <x:c r="C8" s="20" t="str">
        <x:v>Direktur Manajemen Aset</x:v>
      </x:c>
      <x:c r="D8" s="20" t="str">
        <x:v>PT Pupuk Indonesia (Persero)</x:v>
      </x:c>
      <x:c r="E8" s="20" t="str">
        <x:v>Rumah Komplek</x:v>
      </x:c>
      <x:c r="F8" s="20" t="str">
        <x:v>Mess Utama Seulawah 54</x:v>
      </x:c>
      <x:c r="G8" s="20" t="n">
        <x:v>3</x:v>
      </x:c>
      <x:c r="H8" s="20" t="str">
        <x:v>Dalam</x:v>
      </x:c>
      <x:c r="I8" s="20" t="str">
        <x:v>King Bed</x:v>
      </x:c>
      <x:c r="J8" s="20" t="str">
        <x:v>Baik</x:v>
      </x:c>
      <x:c r="K8" s="20" t="str">
        <x:v>Ready</x:v>
      </x:c>
      <x:c r="L8" s="20" t="str">
        <x:v>Ready</x:v>
      </x:c>
      <x:c r="M8" s="20" t="str">
        <x:v>Type A</x:v>
      </x:c>
      <x:c r="N8" s="20" t="str"/>
      <x:c r="O8" s="20" t="str">
        <x:v>Occupied</x:v>
      </x:c>
      <x:c r="P8" s="20" t="str">
        <x:v>Ya</x:v>
      </x:c>
      <x:c r="Q8" s="20" t="str">
        <x:v>Accommodation_Arrangement_UPDATED.xlsx</x:v>
      </x:c>
    </x:row>
    <x:row r="9">
      <x:c r="A9" s="20" t="str">
        <x:v>ACC-R-008</x:v>
      </x:c>
      <x:c r="B9" s="20" t="str">
        <x:v>Robby Setibudi Madjid</x:v>
      </x:c>
      <x:c r="C9" s="20" t="str">
        <x:v>Direktur Supply Chain</x:v>
      </x:c>
      <x:c r="D9" s="20" t="str">
        <x:v>PT Pupuk Indonesia (Persero)</x:v>
      </x:c>
      <x:c r="E9" s="20" t="str">
        <x:v>Rumah Komplek</x:v>
      </x:c>
      <x:c r="F9" s="20" t="str">
        <x:v>Mess Utama Seulawah 54</x:v>
      </x:c>
      <x:c r="G9" s="20" t="n">
        <x:v>4</x:v>
      </x:c>
      <x:c r="H9" s="20" t="str">
        <x:v>Dalam</x:v>
      </x:c>
      <x:c r="I9" s="20" t="str">
        <x:v>King Bed</x:v>
      </x:c>
      <x:c r="J9" s="20" t="str">
        <x:v>Baik</x:v>
      </x:c>
      <x:c r="K9" s="20" t="str">
        <x:v>Ready</x:v>
      </x:c>
      <x:c r="L9" s="20" t="str">
        <x:v>Ready</x:v>
      </x:c>
      <x:c r="M9" s="20" t="str">
        <x:v>Type A</x:v>
      </x:c>
      <x:c r="N9" s="20" t="str"/>
      <x:c r="O9" s="20" t="str">
        <x:v>Occupied</x:v>
      </x:c>
      <x:c r="P9" s="20" t="str">
        <x:v>Ya</x:v>
      </x:c>
      <x:c r="Q9" s="20" t="str">
        <x:v>Accommodation_Arrangement_UPDATED.xlsx</x:v>
      </x:c>
    </x:row>
    <x:row r="10">
      <x:c r="A10" s="20" t="str">
        <x:v>ACC-R-009</x:v>
      </x:c>
      <x:c r="B10" s="20" t="str">
        <x:v>free</x:v>
      </x:c>
      <x:c r="C10" s="20" t="str">
        <x:v>free</x:v>
      </x:c>
      <x:c r="D10" s="20" t="str">
        <x:v>free</x:v>
      </x:c>
      <x:c r="E10" s="20" t="str">
        <x:v>Rumah Komplek</x:v>
      </x:c>
      <x:c r="F10" s="20" t="str">
        <x:v>Mess Utama Seulawah 54</x:v>
      </x:c>
      <x:c r="G10" s="20" t="n">
        <x:v>5</x:v>
      </x:c>
      <x:c r="H10" s="20" t="str">
        <x:v>Dalam</x:v>
      </x:c>
      <x:c r="I10" s="20" t="str">
        <x:v>King Bed</x:v>
      </x:c>
      <x:c r="J10" s="20" t="str">
        <x:v>Baik</x:v>
      </x:c>
      <x:c r="K10" s="20" t="str">
        <x:v>Ready</x:v>
      </x:c>
      <x:c r="L10" s="20" t="str">
        <x:v>Ready</x:v>
      </x:c>
      <x:c r="M10" s="20" t="str">
        <x:v>Type A</x:v>
      </x:c>
      <x:c r="N10" s="20" t="str">
        <x:v>Alternatif Transit Room</x:v>
      </x:c>
      <x:c r="O10" s="20" t="str">
        <x:v>Available</x:v>
      </x:c>
      <x:c r="P10" s="20" t="str">
        <x:v>Tidak</x:v>
      </x:c>
      <x:c r="Q10" s="20" t="str">
        <x:v>Accommodation_Arrangement_UPDATED.xlsx</x:v>
      </x:c>
    </x:row>
    <x:row r="11">
      <x:c r="A11" s="20" t="str">
        <x:v>ACC-R-010</x:v>
      </x:c>
      <x:c r="B11" s="20" t="str">
        <x:v>free</x:v>
      </x:c>
      <x:c r="C11" s="20" t="str">
        <x:v>free</x:v>
      </x:c>
      <x:c r="D11" s="20" t="str">
        <x:v>free</x:v>
      </x:c>
      <x:c r="E11" s="20" t="str">
        <x:v>Rumah Komplek</x:v>
      </x:c>
      <x:c r="F11" s="20" t="str">
        <x:v>Mess Utama Seulawah 54</x:v>
      </x:c>
      <x:c r="G11" s="20" t="n">
        <x:v>6</x:v>
      </x:c>
      <x:c r="H11" s="20" t="str">
        <x:v>Dalam</x:v>
      </x:c>
      <x:c r="I11" s="20" t="str">
        <x:v>King Bed</x:v>
      </x:c>
      <x:c r="J11" s="20" t="str">
        <x:v>Baik</x:v>
      </x:c>
      <x:c r="K11" s="20" t="str">
        <x:v>Ready</x:v>
      </x:c>
      <x:c r="L11" s="20" t="str">
        <x:v>Ready</x:v>
      </x:c>
      <x:c r="M11" s="20" t="str">
        <x:v>Type A</x:v>
      </x:c>
      <x:c r="N11" s="20" t="str"/>
      <x:c r="O11" s="20" t="str">
        <x:v>Available</x:v>
      </x:c>
      <x:c r="P11" s="20" t="str">
        <x:v>Tidak</x:v>
      </x:c>
      <x:c r="Q11" s="20" t="str">
        <x:v>Accommodation_Arrangement_UPDATED.xlsx</x:v>
      </x:c>
    </x:row>
    <x:row r="12">
      <x:c r="A12" s="20" t="str">
        <x:v>ACC-R-011</x:v>
      </x:c>
      <x:c r="B12" s="20" t="str">
        <x:v>free</x:v>
      </x:c>
      <x:c r="C12" s="20" t="str">
        <x:v>free</x:v>
      </x:c>
      <x:c r="D12" s="20" t="str">
        <x:v>free</x:v>
      </x:c>
      <x:c r="E12" s="20" t="str">
        <x:v>Rumah Komplek</x:v>
      </x:c>
      <x:c r="F12" s="20" t="str">
        <x:v>Mess Utama Seulawah 54</x:v>
      </x:c>
      <x:c r="G12" s="20" t="n">
        <x:v>7</x:v>
      </x:c>
      <x:c r="H12" s="20" t="str">
        <x:v>Dalam</x:v>
      </x:c>
      <x:c r="I12" s="20" t="str">
        <x:v>King Bed</x:v>
      </x:c>
      <x:c r="J12" s="20" t="str">
        <x:v>Baik</x:v>
      </x:c>
      <x:c r="K12" s="20" t="str">
        <x:v>Ready</x:v>
      </x:c>
      <x:c r="L12" s="20" t="str">
        <x:v>Ready</x:v>
      </x:c>
      <x:c r="M12" s="20" t="str">
        <x:v>Type A</x:v>
      </x:c>
      <x:c r="N12" s="20" t="str">
        <x:v>Alternatif Transit Room</x:v>
      </x:c>
      <x:c r="O12" s="20" t="str">
        <x:v>Available</x:v>
      </x:c>
      <x:c r="P12" s="20" t="str">
        <x:v>Tidak</x:v>
      </x:c>
      <x:c r="Q12" s="20" t="str">
        <x:v>Accommodation_Arrangement_UPDATED.xlsx</x:v>
      </x:c>
    </x:row>
    <x:row r="13">
      <x:c r="A13" s="20" t="str">
        <x:v>ACC-R-012</x:v>
      </x:c>
      <x:c r="B13" s="20" t="str">
        <x:v>Komisaris &amp; VIP</x:v>
      </x:c>
      <x:c r="C13" s="20" t="str">
        <x:v>Komisaris &amp; VIP</x:v>
      </x:c>
      <x:c r="D13" s="20" t="str">
        <x:v>PT Pupuk Indonesia (Persero)</x:v>
      </x:c>
      <x:c r="E13" s="20" t="str">
        <x:v>Rumah Komplek</x:v>
      </x:c>
      <x:c r="F13" s="20" t="str">
        <x:v>Rumah Raja Lanang 05</x:v>
      </x:c>
      <x:c r="G13" s="20" t="n">
        <x:v>1</x:v>
      </x:c>
      <x:c r="H13" s="20" t="str">
        <x:v>Dalam</x:v>
      </x:c>
      <x:c r="I13" s="20" t="str">
        <x:v>King Bed</x:v>
      </x:c>
      <x:c r="J13" s="20" t="str">
        <x:v>Baik</x:v>
      </x:c>
      <x:c r="K13" s="20" t="str">
        <x:v>Ready</x:v>
      </x:c>
      <x:c r="L13" s="20" t="str">
        <x:v>Ready</x:v>
      </x:c>
      <x:c r="M13" s="20" t="str">
        <x:v>Type B</x:v>
      </x:c>
      <x:c r="N13" s="20" t="str">
        <x:v>Alternatif Sekper dan SDU PI</x:v>
      </x:c>
      <x:c r="O13" s="20" t="str">
        <x:v>Occupied</x:v>
      </x:c>
      <x:c r="P13" s="20" t="str">
        <x:v>Ya</x:v>
      </x:c>
      <x:c r="Q13" s="20" t="str">
        <x:v>Accommodation_Arrangement_UPDATED.xlsx</x:v>
      </x:c>
    </x:row>
    <x:row r="14">
      <x:c r="A14" s="20" t="str">
        <x:v>ACC-R-013</x:v>
      </x:c>
      <x:c r="B14" s="20" t="str">
        <x:v>Komisaris &amp; VIP</x:v>
      </x:c>
      <x:c r="C14" s="20" t="str">
        <x:v>Komisaris &amp; VIP</x:v>
      </x:c>
      <x:c r="D14" s="20" t="str">
        <x:v>PT Pupuk Indonesia (Persero)</x:v>
      </x:c>
      <x:c r="E14" s="20" t="str">
        <x:v>Rumah Komplek</x:v>
      </x:c>
      <x:c r="F14" s="20" t="str">
        <x:v>Rumah Raja Lanang 05</x:v>
      </x:c>
      <x:c r="G14" s="20" t="n">
        <x:v>2</x:v>
      </x:c>
      <x:c r="H14" s="20" t="str">
        <x:v>Dalam</x:v>
      </x:c>
      <x:c r="I14" s="20" t="str">
        <x:v>King Bed</x:v>
      </x:c>
      <x:c r="J14" s="20" t="str">
        <x:v>Baik</x:v>
      </x:c>
      <x:c r="K14" s="20" t="str">
        <x:v>Ready</x:v>
      </x:c>
      <x:c r="L14" s="20" t="str">
        <x:v>Ready</x:v>
      </x:c>
      <x:c r="M14" s="20" t="str">
        <x:v>Type B</x:v>
      </x:c>
      <x:c r="N14" s="20" t="str">
        <x:v>Alternatif Sekper dan SDU PI</x:v>
      </x:c>
      <x:c r="O14" s="20" t="str">
        <x:v>Occupied</x:v>
      </x:c>
      <x:c r="P14" s="20" t="str">
        <x:v>Ya</x:v>
      </x:c>
      <x:c r="Q14" s="20" t="str">
        <x:v>Accommodation_Arrangement_UPDATED.xlsx</x:v>
      </x:c>
    </x:row>
    <x:row r="15">
      <x:c r="A15" s="20" t="str">
        <x:v>ACC-R-014</x:v>
      </x:c>
      <x:c r="B15" s="20" t="str">
        <x:v>Komisaris &amp; VIP</x:v>
      </x:c>
      <x:c r="C15" s="20" t="str">
        <x:v>Komisaris &amp; VIP</x:v>
      </x:c>
      <x:c r="D15" s="20" t="str">
        <x:v>PT Pupuk Indonesia (Persero)</x:v>
      </x:c>
      <x:c r="E15" s="20" t="str">
        <x:v>Rumah Komplek</x:v>
      </x:c>
      <x:c r="F15" s="20" t="str">
        <x:v>Rumah Raja Lanang 05</x:v>
      </x:c>
      <x:c r="G15" s="20" t="n">
        <x:v>3</x:v>
      </x:c>
      <x:c r="H15" s="20" t="str">
        <x:v>Dalam</x:v>
      </x:c>
      <x:c r="I15" s="20" t="str">
        <x:v>Single Bed</x:v>
      </x:c>
      <x:c r="J15" s="20" t="str">
        <x:v>Baik</x:v>
      </x:c>
      <x:c r="K15" s="20" t="str">
        <x:v>Ready</x:v>
      </x:c>
      <x:c r="L15" s="20" t="str">
        <x:v>Ready</x:v>
      </x:c>
      <x:c r="M15" s="20" t="str">
        <x:v>Type B</x:v>
      </x:c>
      <x:c r="N15" s="20" t="str">
        <x:v>Alternatif Sekper dan SDU PI</x:v>
      </x:c>
      <x:c r="O15" s="20" t="str">
        <x:v>Occupied</x:v>
      </x:c>
      <x:c r="P15" s="20" t="str">
        <x:v>Ya</x:v>
      </x:c>
      <x:c r="Q15" s="20" t="str">
        <x:v>Accommodation_Arrangement_UPDATED.xlsx</x:v>
      </x:c>
    </x:row>
    <x:row r="16">
      <x:c r="A16" s="20" t="str">
        <x:v>ACC-R-015</x:v>
      </x:c>
      <x:c r="B16" s="20" t="str">
        <x:v>Komisaris &amp; VIP</x:v>
      </x:c>
      <x:c r="C16" s="20" t="str">
        <x:v>Komisaris &amp; VIP</x:v>
      </x:c>
      <x:c r="D16" s="20" t="str">
        <x:v>PT Pupuk Indonesia (Persero)</x:v>
      </x:c>
      <x:c r="E16" s="20" t="str">
        <x:v>Rumah Komplek</x:v>
      </x:c>
      <x:c r="F16" s="20" t="str">
        <x:v>Rumah Raja Lanang 05</x:v>
      </x:c>
      <x:c r="G16" s="20" t="n">
        <x:v>4</x:v>
      </x:c>
      <x:c r="H16" s="20" t="str">
        <x:v>Dalam</x:v>
      </x:c>
      <x:c r="I16" s="20" t="str">
        <x:v>Single Bed</x:v>
      </x:c>
      <x:c r="J16" s="20" t="str">
        <x:v>Baik</x:v>
      </x:c>
      <x:c r="K16" s="20" t="str">
        <x:v>Ready</x:v>
      </x:c>
      <x:c r="L16" s="20" t="str">
        <x:v>Ready</x:v>
      </x:c>
      <x:c r="M16" s="20" t="str">
        <x:v>Type B</x:v>
      </x:c>
      <x:c r="N16" s="20" t="str">
        <x:v>Alternatif Sekper dan SDU PI</x:v>
      </x:c>
      <x:c r="O16" s="20" t="str">
        <x:v>Occupied</x:v>
      </x:c>
      <x:c r="P16" s="20" t="str">
        <x:v>Ya</x:v>
      </x:c>
      <x:c r="Q16" s="20" t="str">
        <x:v>Accommodation_Arrangement_UPDATED.xlsx</x:v>
      </x:c>
    </x:row>
    <x:row r="17">
      <x:c r="A17" s="20" t="str">
        <x:v>ACC-R-016</x:v>
      </x:c>
      <x:c r="B17" s="20" t="str">
        <x:v>Daconi Khotob</x:v>
      </x:c>
      <x:c r="C17" s="20" t="str">
        <x:v>Direktur Utama</x:v>
      </x:c>
      <x:c r="D17" s="20" t="str">
        <x:v>PT Petrokimia Gresik</x:v>
      </x:c>
      <x:c r="E17" s="20" t="str">
        <x:v>Rumah Komplek</x:v>
      </x:c>
      <x:c r="F17" s="20" t="str">
        <x:v>Mess Seulawah 47</x:v>
      </x:c>
      <x:c r="G17" s="20" t="n">
        <x:v>1</x:v>
      </x:c>
      <x:c r="H17" s="20" t="str">
        <x:v>Dalam</x:v>
      </x:c>
      <x:c r="I17" s="20" t="str">
        <x:v>King Bed</x:v>
      </x:c>
      <x:c r="J17" s="20" t="str">
        <x:v>Baik</x:v>
      </x:c>
      <x:c r="K17" s="20" t="str">
        <x:v>Ready</x:v>
      </x:c>
      <x:c r="L17" s="20" t="str">
        <x:v>Ready</x:v>
      </x:c>
      <x:c r="M17" s="20" t="str">
        <x:v>Type B</x:v>
      </x:c>
      <x:c r="N17" s="20" t="str"/>
      <x:c r="O17" s="20" t="str">
        <x:v>Occupied</x:v>
      </x:c>
      <x:c r="P17" s="20" t="str">
        <x:v>Ya</x:v>
      </x:c>
      <x:c r="Q17" s="20" t="str">
        <x:v>Accommodation_Arrangement_UPDATED.xlsx</x:v>
      </x:c>
    </x:row>
    <x:row r="18">
      <x:c r="A18" s="20" t="str">
        <x:v>ACC-R-017</x:v>
      </x:c>
      <x:c r="B18" s="20" t="str">
        <x:v>Majus Luther Sirait</x:v>
      </x:c>
      <x:c r="C18" s="20" t="str">
        <x:v>Direktur Operasi Dan Produksi</x:v>
      </x:c>
      <x:c r="D18" s="20" t="str">
        <x:v>PT Petrokimia Gresik</x:v>
      </x:c>
      <x:c r="E18" s="20" t="str">
        <x:v>Rumah Komplek</x:v>
      </x:c>
      <x:c r="F18" s="20" t="str">
        <x:v>Mess Seulawah 47</x:v>
      </x:c>
      <x:c r="G18" s="20" t="n">
        <x:v>2</x:v>
      </x:c>
      <x:c r="H18" s="20" t="str">
        <x:v>Dalam</x:v>
      </x:c>
      <x:c r="I18" s="20" t="str">
        <x:v>King Bed</x:v>
      </x:c>
      <x:c r="J18" s="20" t="str">
        <x:v>Baik</x:v>
      </x:c>
      <x:c r="K18" s="20" t="str">
        <x:v>Ready</x:v>
      </x:c>
      <x:c r="L18" s="20" t="str">
        <x:v>Ready</x:v>
      </x:c>
      <x:c r="M18" s="20" t="str">
        <x:v>Type B</x:v>
      </x:c>
      <x:c r="N18" s="20" t="str"/>
      <x:c r="O18" s="20" t="str">
        <x:v>Occupied</x:v>
      </x:c>
      <x:c r="P18" s="20" t="str">
        <x:v>Ya</x:v>
      </x:c>
      <x:c r="Q18" s="20" t="str">
        <x:v>Accommodation_Arrangement_UPDATED.xlsx</x:v>
      </x:c>
    </x:row>
    <x:row r="19">
      <x:c r="A19" s="20" t="str">
        <x:v>ACC-R-018</x:v>
      </x:c>
      <x:c r="B19" s="20" t="str">
        <x:v>Adityo Wibowo</x:v>
      </x:c>
      <x:c r="C19" s="20" t="str">
        <x:v>Direktur Keuangan Dan Umum</x:v>
      </x:c>
      <x:c r="D19" s="20" t="str">
        <x:v>PT Petrokimia Gresik</x:v>
      </x:c>
      <x:c r="E19" s="20" t="str">
        <x:v>Rumah Komplek</x:v>
      </x:c>
      <x:c r="F19" s="20" t="str">
        <x:v>Mess Seulawah 47</x:v>
      </x:c>
      <x:c r="G19" s="20" t="n">
        <x:v>3</x:v>
      </x:c>
      <x:c r="H19" s="20" t="str">
        <x:v>Dalam</x:v>
      </x:c>
      <x:c r="I19" s="20" t="str">
        <x:v>Single Bed</x:v>
      </x:c>
      <x:c r="J19" s="20" t="str">
        <x:v>Baik</x:v>
      </x:c>
      <x:c r="K19" s="20" t="str">
        <x:v>Ready</x:v>
      </x:c>
      <x:c r="L19" s="20" t="str">
        <x:v>Ready</x:v>
      </x:c>
      <x:c r="M19" s="20" t="str">
        <x:v>Type B</x:v>
      </x:c>
      <x:c r="N19" s="20" t="str"/>
      <x:c r="O19" s="20" t="str">
        <x:v>Occupied</x:v>
      </x:c>
      <x:c r="P19" s="20" t="str">
        <x:v>Ya</x:v>
      </x:c>
      <x:c r="Q19" s="20" t="str">
        <x:v>Accommodation_Arrangement_UPDATED.xlsx</x:v>
      </x:c>
    </x:row>
    <x:row r="20">
      <x:c r="A20" s="20" t="str">
        <x:v>ACC-R-019</x:v>
      </x:c>
      <x:c r="B20" s="20" t="str">
        <x:v>M. Ihwan Fahrurrazi</x:v>
      </x:c>
      <x:c r="C20" s="20" t="str">
        <x:v>Direktur Manajemen Risiko</x:v>
      </x:c>
      <x:c r="D20" s="20" t="str">
        <x:v>PT Petrokimia Gresik</x:v>
      </x:c>
      <x:c r="E20" s="20" t="str">
        <x:v>Rumah Komplek</x:v>
      </x:c>
      <x:c r="F20" s="20" t="str">
        <x:v>Mess Seulawah 47</x:v>
      </x:c>
      <x:c r="G20" s="20" t="n">
        <x:v>4</x:v>
      </x:c>
      <x:c r="H20" s="20" t="str">
        <x:v>Dalam</x:v>
      </x:c>
      <x:c r="I20" s="20" t="str">
        <x:v>Single Bed</x:v>
      </x:c>
      <x:c r="J20" s="20" t="str">
        <x:v>Baik</x:v>
      </x:c>
      <x:c r="K20" s="20" t="str">
        <x:v>Ready</x:v>
      </x:c>
      <x:c r="L20" s="20" t="str">
        <x:v>Ready</x:v>
      </x:c>
      <x:c r="M20" s="20" t="str">
        <x:v>Type B</x:v>
      </x:c>
      <x:c r="N20" s="20" t="str"/>
      <x:c r="O20" s="20" t="str">
        <x:v>Occupied</x:v>
      </x:c>
      <x:c r="P20" s="20" t="str">
        <x:v>Ya</x:v>
      </x:c>
      <x:c r="Q20" s="20" t="str">
        <x:v>Accommodation_Arrangement_UPDATED.xlsx</x:v>
      </x:c>
    </x:row>
    <x:row r="21">
      <x:c r="A21" s="20" t="str">
        <x:v>ACC-R-020</x:v>
      </x:c>
      <x:c r="B21" s="20" t="str">
        <x:v>Herdijanto Utomo</x:v>
      </x:c>
      <x:c r="C21" s="20" t="str">
        <x:v>Direktur Pengembangan</x:v>
      </x:c>
      <x:c r="D21" s="20" t="str">
        <x:v>PT Petrokimia Gresik</x:v>
      </x:c>
      <x:c r="E21" s="20" t="str">
        <x:v>Rumah Komplek</x:v>
      </x:c>
      <x:c r="F21" s="20" t="str">
        <x:v>Mess Seulawah 47</x:v>
      </x:c>
      <x:c r="G21" s="20" t="n">
        <x:v>5</x:v>
      </x:c>
      <x:c r="H21" s="20" t="str">
        <x:v>Dalam</x:v>
      </x:c>
      <x:c r="I21" s="20" t="str">
        <x:v>Single Bed</x:v>
      </x:c>
      <x:c r="J21" s="20" t="str">
        <x:v>Baik</x:v>
      </x:c>
      <x:c r="K21" s="20" t="str">
        <x:v>Ready</x:v>
      </x:c>
      <x:c r="L21" s="20" t="str">
        <x:v>Ready</x:v>
      </x:c>
      <x:c r="M21" s="20" t="str">
        <x:v>Type B</x:v>
      </x:c>
      <x:c r="N21" s="20" t="str"/>
      <x:c r="O21" s="20" t="str">
        <x:v>Occupied</x:v>
      </x:c>
      <x:c r="P21" s="20" t="str">
        <x:v>Ya</x:v>
      </x:c>
      <x:c r="Q21" s="20" t="str">
        <x:v>Accommodation_Arrangement_UPDATED.xlsx</x:v>
      </x:c>
    </x:row>
    <x:row r="22">
      <x:c r="A22" s="20" t="str">
        <x:v>ACC-R-021</x:v>
      </x:c>
      <x:c r="B22" s="20" t="str">
        <x:v>Rafli Yandra</x:v>
      </x:c>
      <x:c r="C22" s="20" t="str">
        <x:v>Direktur Utama</x:v>
      </x:c>
      <x:c r="D22" s="20" t="str">
        <x:v>PT Pupuk Kalimantan Timur</x:v>
      </x:c>
      <x:c r="E22" s="20" t="str">
        <x:v>Rumah Komplek</x:v>
      </x:c>
      <x:c r="F22" s="20" t="str">
        <x:v>Mess Seulawah 45</x:v>
      </x:c>
      <x:c r="G22" s="20" t="n">
        <x:v>1</x:v>
      </x:c>
      <x:c r="H22" s="20" t="str">
        <x:v>Dalam</x:v>
      </x:c>
      <x:c r="I22" s="20" t="str">
        <x:v>King Bed</x:v>
      </x:c>
      <x:c r="J22" s="20" t="str">
        <x:v>Baik</x:v>
      </x:c>
      <x:c r="K22" s="20" t="str">
        <x:v>Ready</x:v>
      </x:c>
      <x:c r="L22" s="20" t="str">
        <x:v>Ready</x:v>
      </x:c>
      <x:c r="M22" s="20" t="str">
        <x:v>Type B</x:v>
      </x:c>
      <x:c r="N22" s="20" t="str"/>
      <x:c r="O22" s="20" t="str">
        <x:v>Occupied</x:v>
      </x:c>
      <x:c r="P22" s="20" t="str">
        <x:v>Ya</x:v>
      </x:c>
      <x:c r="Q22" s="20" t="str">
        <x:v>Accommodation_Arrangement_UPDATED.xlsx</x:v>
      </x:c>
    </x:row>
    <x:row r="23">
      <x:c r="A23" s="20" t="str">
        <x:v>ACC-R-022</x:v>
      </x:c>
      <x:c r="B23" s="20" t="str">
        <x:v>Andik Cahyanto Budiarto</x:v>
      </x:c>
      <x:c r="C23" s="20" t="str">
        <x:v>Direktur Keuangan Dan Umum</x:v>
      </x:c>
      <x:c r="D23" s="20" t="str">
        <x:v>PT Pupuk Kalimantan Timur</x:v>
      </x:c>
      <x:c r="E23" s="20" t="str">
        <x:v>Rumah Komplek</x:v>
      </x:c>
      <x:c r="F23" s="20" t="str">
        <x:v>Mess Seulawah 45</x:v>
      </x:c>
      <x:c r="G23" s="20" t="n">
        <x:v>2</x:v>
      </x:c>
      <x:c r="H23" s="20" t="str">
        <x:v>Dalam</x:v>
      </x:c>
      <x:c r="I23" s="20" t="str">
        <x:v>Twin Bed</x:v>
      </x:c>
      <x:c r="J23" s="20" t="str">
        <x:v>Baik</x:v>
      </x:c>
      <x:c r="K23" s="20" t="str">
        <x:v>Ready</x:v>
      </x:c>
      <x:c r="L23" s="20" t="str">
        <x:v>Ready</x:v>
      </x:c>
      <x:c r="M23" s="20" t="str">
        <x:v>Type B</x:v>
      </x:c>
      <x:c r="N23" s="20" t="str"/>
      <x:c r="O23" s="20" t="str">
        <x:v>Occupied</x:v>
      </x:c>
      <x:c r="P23" s="20" t="str">
        <x:v>Ya</x:v>
      </x:c>
      <x:c r="Q23" s="20" t="str">
        <x:v>Accommodation_Arrangement_UPDATED.xlsx</x:v>
      </x:c>
    </x:row>
    <x:row r="24">
      <x:c r="A24" s="20" t="str">
        <x:v>ACC-R-023</x:v>
      </x:c>
      <x:c r="B24" s="20" t="str">
        <x:v>Teguh Ismartono</x:v>
      </x:c>
      <x:c r="C24" s="20" t="str">
        <x:v>Direktur Operasi Dan Produksi</x:v>
      </x:c>
      <x:c r="D24" s="20" t="str">
        <x:v>PT Pupuk Kalimantan Timur</x:v>
      </x:c>
      <x:c r="E24" s="20" t="str">
        <x:v>Rumah Komplek</x:v>
      </x:c>
      <x:c r="F24" s="20" t="str">
        <x:v>Mess Seulawah 45</x:v>
      </x:c>
      <x:c r="G24" s="20" t="n">
        <x:v>3</x:v>
      </x:c>
      <x:c r="H24" s="20" t="str">
        <x:v>Dalam</x:v>
      </x:c>
      <x:c r="I24" s="20" t="str">
        <x:v>Twin Bed</x:v>
      </x:c>
      <x:c r="J24" s="20" t="str">
        <x:v>Baik</x:v>
      </x:c>
      <x:c r="K24" s="20" t="str">
        <x:v>Ready</x:v>
      </x:c>
      <x:c r="L24" s="20" t="str">
        <x:v>Ready</x:v>
      </x:c>
      <x:c r="M24" s="20" t="str">
        <x:v>Type B</x:v>
      </x:c>
      <x:c r="N24" s="20" t="str"/>
      <x:c r="O24" s="20" t="str">
        <x:v>Occupied</x:v>
      </x:c>
      <x:c r="P24" s="20" t="str">
        <x:v>Ya</x:v>
      </x:c>
      <x:c r="Q24" s="20" t="str">
        <x:v>Accommodation_Arrangement_UPDATED.xlsx</x:v>
      </x:c>
    </x:row>
    <x:row r="25">
      <x:c r="A25" s="20" t="str">
        <x:v>ACC-R-024</x:v>
      </x:c>
      <x:c r="B25" s="20" t="str">
        <x:v>Mohamad Agung</x:v>
      </x:c>
      <x:c r="C25" s="20" t="str">
        <x:v>Direktur Pengembangan</x:v>
      </x:c>
      <x:c r="D25" s="20" t="str">
        <x:v>PT Pupuk Kalimantan Timur</x:v>
      </x:c>
      <x:c r="E25" s="20" t="str">
        <x:v>Rumah Komplek</x:v>
      </x:c>
      <x:c r="F25" s="20" t="str">
        <x:v>Mess Seulawah 45</x:v>
      </x:c>
      <x:c r="G25" s="20" t="n">
        <x:v>4</x:v>
      </x:c>
      <x:c r="H25" s="20" t="str">
        <x:v>Dalam</x:v>
      </x:c>
      <x:c r="I25" s="20" t="str">
        <x:v>Single Bed</x:v>
      </x:c>
      <x:c r="J25" s="20" t="str">
        <x:v>Baik</x:v>
      </x:c>
      <x:c r="K25" s="20" t="str">
        <x:v>Ready</x:v>
      </x:c>
      <x:c r="L25" s="20" t="str">
        <x:v>Ready</x:v>
      </x:c>
      <x:c r="M25" s="20" t="str">
        <x:v>Type B</x:v>
      </x:c>
      <x:c r="N25" s="20" t="str"/>
      <x:c r="O25" s="20" t="str">
        <x:v>Occupied</x:v>
      </x:c>
      <x:c r="P25" s="20" t="str">
        <x:v>Ya</x:v>
      </x:c>
      <x:c r="Q25" s="20" t="str">
        <x:v>Accommodation_Arrangement_UPDATED.xlsx</x:v>
      </x:c>
    </x:row>
    <x:row r="26">
      <x:c r="A26" s="20" t="str">
        <x:v>ACC-R-025</x:v>
      </x:c>
      <x:c r="B26" s="20" t="str">
        <x:v>Maslani</x:v>
      </x:c>
      <x:c r="C26" s="20" t="str">
        <x:v>Direktur Manajemen Risiko</x:v>
      </x:c>
      <x:c r="D26" s="20" t="str">
        <x:v>PT Pupuk Kalimantan Timur</x:v>
      </x:c>
      <x:c r="E26" s="20" t="str">
        <x:v>Rumah Komplek</x:v>
      </x:c>
      <x:c r="F26" s="20" t="str">
        <x:v>Mess Seulawah 45</x:v>
      </x:c>
      <x:c r="G26" s="20" t="n">
        <x:v>5</x:v>
      </x:c>
      <x:c r="H26" s="20" t="str">
        <x:v>Dalam</x:v>
      </x:c>
      <x:c r="I26" s="20" t="str">
        <x:v>Single Bed</x:v>
      </x:c>
      <x:c r="J26" s="20" t="str">
        <x:v>Baik</x:v>
      </x:c>
      <x:c r="K26" s="20" t="str">
        <x:v>Ready</x:v>
      </x:c>
      <x:c r="L26" s="20" t="str">
        <x:v>Ready</x:v>
      </x:c>
      <x:c r="M26" s="20" t="str">
        <x:v>Type B</x:v>
      </x:c>
      <x:c r="N26" s="20" t="str"/>
      <x:c r="O26" s="20" t="str">
        <x:v>Occupied</x:v>
      </x:c>
      <x:c r="P26" s="20" t="str">
        <x:v>Ya</x:v>
      </x:c>
      <x:c r="Q26" s="20" t="str">
        <x:v>Accommodation_Arrangement_UPDATED.xlsx</x:v>
      </x:c>
    </x:row>
    <x:row r="27">
      <x:c r="A27" s="20" t="str">
        <x:v>ACC-R-026</x:v>
      </x:c>
      <x:c r="B27" s="20" t="str">
        <x:v>Maryono</x:v>
      </x:c>
      <x:c r="C27" s="20" t="str">
        <x:v>Direktur Utama</x:v>
      </x:c>
      <x:c r="D27" s="20" t="str">
        <x:v>PT Pupuk Sriwidjaja Palembang</x:v>
      </x:c>
      <x:c r="E27" s="20" t="str">
        <x:v>Rumah Komplek</x:v>
      </x:c>
      <x:c r="F27" s="20" t="str">
        <x:v>Rumah Seulawah 43</x:v>
      </x:c>
      <x:c r="G27" s="20" t="n">
        <x:v>1</x:v>
      </x:c>
      <x:c r="H27" s="20" t="str">
        <x:v>Dalam</x:v>
      </x:c>
      <x:c r="I27" s="20" t="str">
        <x:v>King Bed</x:v>
      </x:c>
      <x:c r="J27" s="20" t="str">
        <x:v>Baik</x:v>
      </x:c>
      <x:c r="K27" s="20" t="str">
        <x:v>Ready</x:v>
      </x:c>
      <x:c r="L27" s="20" t="str">
        <x:v>Ready</x:v>
      </x:c>
      <x:c r="M27" s="20" t="str">
        <x:v>Type B</x:v>
      </x:c>
      <x:c r="N27" s="20" t="str"/>
      <x:c r="O27" s="20" t="str">
        <x:v>Occupied</x:v>
      </x:c>
      <x:c r="P27" s="20" t="str">
        <x:v>Ya</x:v>
      </x:c>
      <x:c r="Q27" s="20" t="str">
        <x:v>Accommodation_Arrangement_UPDATED.xlsx</x:v>
      </x:c>
    </x:row>
    <x:row r="28">
      <x:c r="A28" s="20" t="str">
        <x:v>ACC-R-027</x:v>
      </x:c>
      <x:c r="B28" s="20" t="str">
        <x:v>Zulyan Imansyah</x:v>
      </x:c>
      <x:c r="C28" s="20" t="str">
        <x:v>Direktur Operasi Dan Produksi</x:v>
      </x:c>
      <x:c r="D28" s="20" t="str">
        <x:v>PT Pupuk Sriwidjaja Palembang</x:v>
      </x:c>
      <x:c r="E28" s="20" t="str">
        <x:v>Rumah Komplek</x:v>
      </x:c>
      <x:c r="F28" s="20" t="str">
        <x:v>Rumah Seulawah 43</x:v>
      </x:c>
      <x:c r="G28" s="20" t="n">
        <x:v>2</x:v>
      </x:c>
      <x:c r="H28" s="20" t="str">
        <x:v>Dalam</x:v>
      </x:c>
      <x:c r="I28" s="20" t="str">
        <x:v>Twin Bed</x:v>
      </x:c>
      <x:c r="J28" s="20" t="str">
        <x:v>Baik</x:v>
      </x:c>
      <x:c r="K28" s="20" t="str">
        <x:v>Ready</x:v>
      </x:c>
      <x:c r="L28" s="20" t="str">
        <x:v>Ready</x:v>
      </x:c>
      <x:c r="M28" s="20" t="str">
        <x:v>Type B</x:v>
      </x:c>
      <x:c r="N28" s="20" t="str"/>
      <x:c r="O28" s="20" t="str">
        <x:v>Occupied</x:v>
      </x:c>
      <x:c r="P28" s="20" t="str">
        <x:v>Ya</x:v>
      </x:c>
      <x:c r="Q28" s="20" t="str">
        <x:v>Accommodation_Arrangement_UPDATED.xlsx</x:v>
      </x:c>
    </x:row>
    <x:row r="29">
      <x:c r="A29" s="20" t="str">
        <x:v>ACC-R-028</x:v>
      </x:c>
      <x:c r="B29" s="20" t="str">
        <x:v>R. Eric Juliana Rachman</x:v>
      </x:c>
      <x:c r="C29" s="20" t="str">
        <x:v>Direktur Keuangan Dan Umum</x:v>
      </x:c>
      <x:c r="D29" s="20" t="str">
        <x:v>PT Pupuk Sriwidjaja Palembang</x:v>
      </x:c>
      <x:c r="E29" s="20" t="str">
        <x:v>Rumah Komplek</x:v>
      </x:c>
      <x:c r="F29" s="20" t="str">
        <x:v>Rumah Seulawah 43</x:v>
      </x:c>
      <x:c r="G29" s="20" t="n">
        <x:v>3</x:v>
      </x:c>
      <x:c r="H29" s="20" t="str">
        <x:v>Dalam</x:v>
      </x:c>
      <x:c r="I29" s="20" t="str">
        <x:v>Twin Bed</x:v>
      </x:c>
      <x:c r="J29" s="20" t="str">
        <x:v>Baik</x:v>
      </x:c>
      <x:c r="K29" s="20" t="str">
        <x:v>Ready</x:v>
      </x:c>
      <x:c r="L29" s="20" t="str">
        <x:v>Ready</x:v>
      </x:c>
      <x:c r="M29" s="20" t="str">
        <x:v>Type B</x:v>
      </x:c>
      <x:c r="N29" s="20" t="str"/>
      <x:c r="O29" s="20" t="str">
        <x:v>Occupied</x:v>
      </x:c>
      <x:c r="P29" s="20" t="str">
        <x:v>Ya</x:v>
      </x:c>
      <x:c r="Q29" s="20" t="str">
        <x:v>Accommodation_Arrangement_UPDATED.xlsx</x:v>
      </x:c>
    </x:row>
    <x:row r="30">
      <x:c r="A30" s="20" t="str">
        <x:v>ACC-R-029</x:v>
      </x:c>
      <x:c r="B30" s="20" t="str">
        <x:v>Budi Mulia Utama Hasibuan</x:v>
      </x:c>
      <x:c r="C30" s="20" t="str">
        <x:v>Direktur Manajemen Risiko</x:v>
      </x:c>
      <x:c r="D30" s="20" t="str">
        <x:v>PT Pupuk Sriwidjaja Palembang</x:v>
      </x:c>
      <x:c r="E30" s="20" t="str">
        <x:v>Rumah Komplek</x:v>
      </x:c>
      <x:c r="F30" s="20" t="str">
        <x:v>Rumah Seulawah 43</x:v>
      </x:c>
      <x:c r="G30" s="20" t="n">
        <x:v>4</x:v>
      </x:c>
      <x:c r="H30" s="20" t="str">
        <x:v>Dalam</x:v>
      </x:c>
      <x:c r="I30" s="20" t="str">
        <x:v>Single Bed</x:v>
      </x:c>
      <x:c r="J30" s="20" t="str">
        <x:v>Baik</x:v>
      </x:c>
      <x:c r="K30" s="20" t="str">
        <x:v>Ready</x:v>
      </x:c>
      <x:c r="L30" s="20" t="str">
        <x:v>Ready</x:v>
      </x:c>
      <x:c r="M30" s="20" t="str">
        <x:v>Type B</x:v>
      </x:c>
      <x:c r="N30" s="20" t="str"/>
      <x:c r="O30" s="20" t="str">
        <x:v>Occupied</x:v>
      </x:c>
      <x:c r="P30" s="20" t="str">
        <x:v>Ya</x:v>
      </x:c>
      <x:c r="Q30" s="20" t="str">
        <x:v>Accommodation_Arrangement_UPDATED.xlsx</x:v>
      </x:c>
    </x:row>
    <x:row r="31">
      <x:c r="A31" s="20" t="str">
        <x:v>ACC-R-030</x:v>
      </x:c>
      <x:c r="B31" s="20" t="str">
        <x:v>free</x:v>
      </x:c>
      <x:c r="C31" s="20" t="str">
        <x:v>free</x:v>
      </x:c>
      <x:c r="D31" s="20" t="str">
        <x:v>free</x:v>
      </x:c>
      <x:c r="E31" s="20" t="str">
        <x:v>Rumah Komplek</x:v>
      </x:c>
      <x:c r="F31" s="20" t="str">
        <x:v>Rumah Seulawah 43</x:v>
      </x:c>
      <x:c r="G31" s="20" t="n">
        <x:v>5</x:v>
      </x:c>
      <x:c r="H31" s="20" t="str">
        <x:v>Dalam</x:v>
      </x:c>
      <x:c r="I31" s="20" t="str">
        <x:v>Single Bed</x:v>
      </x:c>
      <x:c r="J31" s="20" t="str">
        <x:v>Baik</x:v>
      </x:c>
      <x:c r="K31" s="20" t="str">
        <x:v>Ready</x:v>
      </x:c>
      <x:c r="L31" s="20" t="str">
        <x:v>Ready</x:v>
      </x:c>
      <x:c r="M31" s="20" t="str">
        <x:v>Type B</x:v>
      </x:c>
      <x:c r="N31" s="20" t="str"/>
      <x:c r="O31" s="20" t="str">
        <x:v>Available</x:v>
      </x:c>
      <x:c r="P31" s="20" t="str">
        <x:v>Tidak</x:v>
      </x:c>
      <x:c r="Q31" s="20" t="str">
        <x:v>Accommodation_Arrangement_UPDATED.xlsx</x:v>
      </x:c>
    </x:row>
    <x:row r="32">
      <x:c r="A32" s="20" t="str">
        <x:v>ACC-R-031</x:v>
      </x:c>
      <x:c r="B32" s="20" t="str">
        <x:v>Panji Winanteya Ruky</x:v>
      </x:c>
      <x:c r="C32" s="20" t="str">
        <x:v>Direktur Utama</x:v>
      </x:c>
      <x:c r="D32" s="20" t="str">
        <x:v>PT Pupuk Kujang Cikampek</x:v>
      </x:c>
      <x:c r="E32" s="20" t="str">
        <x:v>Rumah Komplek</x:v>
      </x:c>
      <x:c r="F32" s="20" t="str">
        <x:v>Rumah Seulawah 30</x:v>
      </x:c>
      <x:c r="G32" s="20" t="n">
        <x:v>1</x:v>
      </x:c>
      <x:c r="H32" s="20" t="str">
        <x:v>Dalam</x:v>
      </x:c>
      <x:c r="I32" s="20" t="str">
        <x:v>King Bed</x:v>
      </x:c>
      <x:c r="J32" s="20" t="str">
        <x:v>Baik</x:v>
      </x:c>
      <x:c r="K32" s="20" t="str">
        <x:v>Ready</x:v>
      </x:c>
      <x:c r="L32" s="20" t="str">
        <x:v>Ready</x:v>
      </x:c>
      <x:c r="M32" s="20" t="str">
        <x:v>Type B</x:v>
      </x:c>
      <x:c r="N32" s="20" t="str"/>
      <x:c r="O32" s="20" t="str">
        <x:v>Occupied</x:v>
      </x:c>
      <x:c r="P32" s="20" t="str">
        <x:v>Ya</x:v>
      </x:c>
      <x:c r="Q32" s="20" t="str">
        <x:v>Accommodation_Arrangement_UPDATED.xlsx</x:v>
      </x:c>
    </x:row>
    <x:row r="33">
      <x:c r="A33" s="20" t="str">
        <x:v>ACC-R-032</x:v>
      </x:c>
      <x:c r="B33" s="20" t="str">
        <x:v>Arlyza Eka Wijayanti</x:v>
      </x:c>
      <x:c r="C33" s="20" t="str">
        <x:v>Direktur Operasi Dan Produksi</x:v>
      </x:c>
      <x:c r="D33" s="20" t="str">
        <x:v>PT Pupuk Kujang Cikampek</x:v>
      </x:c>
      <x:c r="E33" s="20" t="str">
        <x:v>Rumah Komplek</x:v>
      </x:c>
      <x:c r="F33" s="20" t="str">
        <x:v>Rumah Seulawah 30</x:v>
      </x:c>
      <x:c r="G33" s="20" t="n">
        <x:v>2</x:v>
      </x:c>
      <x:c r="H33" s="20" t="str">
        <x:v>Dalam</x:v>
      </x:c>
      <x:c r="I33" s="20" t="str">
        <x:v>King Bed</x:v>
      </x:c>
      <x:c r="J33" s="20" t="str">
        <x:v>Baik</x:v>
      </x:c>
      <x:c r="K33" s="20" t="str">
        <x:v>Ready</x:v>
      </x:c>
      <x:c r="L33" s="20" t="str">
        <x:v>Ready</x:v>
      </x:c>
      <x:c r="M33" s="20" t="str">
        <x:v>Type B</x:v>
      </x:c>
      <x:c r="N33" s="20" t="str"/>
      <x:c r="O33" s="20" t="str">
        <x:v>Occupied</x:v>
      </x:c>
      <x:c r="P33" s="20" t="str">
        <x:v>Ya</x:v>
      </x:c>
      <x:c r="Q33" s="20" t="str">
        <x:v>Accommodation_Arrangement_UPDATED.xlsx</x:v>
      </x:c>
    </x:row>
    <x:row r="34">
      <x:c r="A34" s="20" t="str">
        <x:v>ACC-R-033</x:v>
      </x:c>
      <x:c r="B34" s="20" t="str">
        <x:v>Iyan Fajri</x:v>
      </x:c>
      <x:c r="C34" s="20" t="str">
        <x:v>Direktur Keuangan Dan Umum</x:v>
      </x:c>
      <x:c r="D34" s="20" t="str">
        <x:v>PT Pupuk Kujang Cikampek</x:v>
      </x:c>
      <x:c r="E34" s="20" t="str">
        <x:v>Rumah Komplek</x:v>
      </x:c>
      <x:c r="F34" s="20" t="str">
        <x:v>Rumah Seulawah 30</x:v>
      </x:c>
      <x:c r="G34" s="20" t="n">
        <x:v>3</x:v>
      </x:c>
      <x:c r="H34" s="20" t="str">
        <x:v>Dalam</x:v>
      </x:c>
      <x:c r="I34" s="20" t="str">
        <x:v>King Bed</x:v>
      </x:c>
      <x:c r="J34" s="20" t="str">
        <x:v>Baik</x:v>
      </x:c>
      <x:c r="K34" s="20" t="str">
        <x:v>Ready</x:v>
      </x:c>
      <x:c r="L34" s="20" t="str">
        <x:v>Ready</x:v>
      </x:c>
      <x:c r="M34" s="20" t="str">
        <x:v>Type B</x:v>
      </x:c>
      <x:c r="N34" s="20" t="str"/>
      <x:c r="O34" s="20" t="str">
        <x:v>Occupied</x:v>
      </x:c>
      <x:c r="P34" s="20" t="str">
        <x:v>Ya</x:v>
      </x:c>
      <x:c r="Q34" s="20" t="str">
        <x:v>Accommodation_Arrangement_UPDATED.xlsx</x:v>
      </x:c>
    </x:row>
    <x:row r="35">
      <x:c r="A35" s="20" t="str">
        <x:v>ACC-R-034</x:v>
      </x:c>
      <x:c r="B35" s="20" t="str">
        <x:v>Yana Nurahmad Haerudin</x:v>
      </x:c>
      <x:c r="C35" s="20" t="str">
        <x:v>Direktur Manajemen Risiko</x:v>
      </x:c>
      <x:c r="D35" s="20" t="str">
        <x:v>PT Pupuk Kujang Cikampek</x:v>
      </x:c>
      <x:c r="E35" s="20" t="str">
        <x:v>Rumah Komplek</x:v>
      </x:c>
      <x:c r="F35" s="20" t="str">
        <x:v>Rumah Seulawah 30</x:v>
      </x:c>
      <x:c r="G35" s="20" t="n">
        <x:v>4</x:v>
      </x:c>
      <x:c r="H35" s="20" t="str">
        <x:v>Luar</x:v>
      </x:c>
      <x:c r="I35" s="20" t="str">
        <x:v>Single Bed</x:v>
      </x:c>
      <x:c r="J35" s="20" t="str">
        <x:v>Baik</x:v>
      </x:c>
      <x:c r="K35" s="20" t="str">
        <x:v>Ready</x:v>
      </x:c>
      <x:c r="L35" s="20" t="str">
        <x:v>Ready</x:v>
      </x:c>
      <x:c r="M35" s="20" t="str">
        <x:v>Type B</x:v>
      </x:c>
      <x:c r="N35" s="20" t="str"/>
      <x:c r="O35" s="20" t="str">
        <x:v>Occupied</x:v>
      </x:c>
      <x:c r="P35" s="20" t="str">
        <x:v>Ya</x:v>
      </x:c>
      <x:c r="Q35" s="20" t="str">
        <x:v>Accommodation_Arrangement_UPDATED.xlsx</x:v>
      </x:c>
    </x:row>
    <x:row r="36">
      <x:c r="A36" s="20" t="str">
        <x:v>ACC-R-035</x:v>
      </x:c>
      <x:c r="B36" s="20" t="str">
        <x:v>Triyani Utaminingsih</x:v>
      </x:c>
      <x:c r="C36" s="20" t="str">
        <x:v>Direktur Utama</x:v>
      </x:c>
      <x:c r="D36" s="20" t="str">
        <x:v>PT Rekayasa Industri</x:v>
      </x:c>
      <x:c r="E36" s="20" t="str">
        <x:v>Rumah Komplek</x:v>
      </x:c>
      <x:c r="F36" s="20" t="str">
        <x:v>Rumah Seulawah 46</x:v>
      </x:c>
      <x:c r="G36" s="20" t="n">
        <x:v>1</x:v>
      </x:c>
      <x:c r="H36" s="20" t="str">
        <x:v>Dalam</x:v>
      </x:c>
      <x:c r="I36" s="20" t="str"/>
      <x:c r="J36" s="20" t="str">
        <x:v>Baik</x:v>
      </x:c>
      <x:c r="K36" s="20" t="str">
        <x:v>Pengisian Tempat tidur, sofa, meja makan dan ambal</x:v>
      </x:c>
      <x:c r="L36" s="20" t="str">
        <x:v>Needs Action</x:v>
      </x:c>
      <x:c r="M36" s="20" t="str">
        <x:v>Type B</x:v>
      </x:c>
      <x:c r="N36" s="20" t="str">
        <x:v>Dispenser, AC, Gorden</x:v>
      </x:c>
      <x:c r="O36" s="20" t="str">
        <x:v>Occupied</x:v>
      </x:c>
      <x:c r="P36" s="20" t="str">
        <x:v>Ya</x:v>
      </x:c>
      <x:c r="Q36" s="20" t="str">
        <x:v>Accommodation_Arrangement_UPDATED.xlsx</x:v>
      </x:c>
    </x:row>
    <x:row r="37">
      <x:c r="A37" s="20" t="str">
        <x:v>ACC-R-036</x:v>
      </x:c>
      <x:c r="B37" s="20" t="str">
        <x:v>Dedy Rinaldi</x:v>
      </x:c>
      <x:c r="C37" s="20" t="str">
        <x:v>Direktur Keuangan Dan SDM</x:v>
      </x:c>
      <x:c r="D37" s="20" t="str">
        <x:v>PT Rekayasa Industri</x:v>
      </x:c>
      <x:c r="E37" s="20" t="str">
        <x:v>Rumah Komplek</x:v>
      </x:c>
      <x:c r="F37" s="20" t="str">
        <x:v>Rumah Seulawah 46</x:v>
      </x:c>
      <x:c r="G37" s="20" t="n">
        <x:v>2</x:v>
      </x:c>
      <x:c r="H37" s="20" t="str">
        <x:v>Dalam</x:v>
      </x:c>
      <x:c r="I37" s="20" t="str"/>
      <x:c r="J37" s="20" t="str">
        <x:v>Baik</x:v>
      </x:c>
      <x:c r="K37" s="20" t="str">
        <x:v>Pengisian Tempat tidur, sofa, meja makan dan ambal</x:v>
      </x:c>
      <x:c r="L37" s="20" t="str">
        <x:v>Needs Action</x:v>
      </x:c>
      <x:c r="M37" s="20" t="str">
        <x:v>Type B</x:v>
      </x:c>
      <x:c r="N37" s="20" t="str">
        <x:v>Dispenser, AC, Gorden</x:v>
      </x:c>
      <x:c r="O37" s="20" t="str">
        <x:v>Occupied</x:v>
      </x:c>
      <x:c r="P37" s="20" t="str">
        <x:v>Ya</x:v>
      </x:c>
      <x:c r="Q37" s="20" t="str">
        <x:v>Accommodation_Arrangement_UPDATED.xlsx</x:v>
      </x:c>
    </x:row>
    <x:row r="38">
      <x:c r="A38" s="20" t="str">
        <x:v>ACC-R-037</x:v>
      </x:c>
      <x:c r="B38" s="20" t="str">
        <x:v>Yusairi</x:v>
      </x:c>
      <x:c r="C38" s="20" t="str">
        <x:v>Direktur Operasi Dan Teknologi/Pengembangan</x:v>
      </x:c>
      <x:c r="D38" s="20" t="str">
        <x:v>PT Rekayasa Industri</x:v>
      </x:c>
      <x:c r="E38" s="20" t="str">
        <x:v>Rumah Komplek</x:v>
      </x:c>
      <x:c r="F38" s="20" t="str">
        <x:v>Rumah Seulawah 46</x:v>
      </x:c>
      <x:c r="G38" s="20" t="n">
        <x:v>3</x:v>
      </x:c>
      <x:c r="H38" s="20" t="str">
        <x:v>Luar</x:v>
      </x:c>
      <x:c r="I38" s="20" t="str"/>
      <x:c r="J38" s="20" t="str">
        <x:v>Baik</x:v>
      </x:c>
      <x:c r="K38" s="20" t="str">
        <x:v>Pengisian Tempat tidur, sofa, meja makan dan ambal</x:v>
      </x:c>
      <x:c r="L38" s="20" t="str">
        <x:v>Needs Action</x:v>
      </x:c>
      <x:c r="M38" s="20" t="str">
        <x:v>Type B</x:v>
      </x:c>
      <x:c r="N38" s="20" t="str">
        <x:v>Dispenser, AC, Gorden</x:v>
      </x:c>
      <x:c r="O38" s="20" t="str">
        <x:v>Occupied</x:v>
      </x:c>
      <x:c r="P38" s="20" t="str">
        <x:v>Ya</x:v>
      </x:c>
      <x:c r="Q38" s="20" t="str">
        <x:v>Accommodation_Arrangement_UPDATED.xlsx</x:v>
      </x:c>
    </x:row>
    <x:row r="39">
      <x:c r="A39" s="20" t="str">
        <x:v>ACC-R-038</x:v>
      </x:c>
      <x:c r="B39" s="20" t="str">
        <x:v>free</x:v>
      </x:c>
      <x:c r="C39" s="20" t="str">
        <x:v>free</x:v>
      </x:c>
      <x:c r="D39" s="20" t="str">
        <x:v>free</x:v>
      </x:c>
      <x:c r="E39" s="20" t="str">
        <x:v>Rumah Komplek</x:v>
      </x:c>
      <x:c r="F39" s="20" t="str">
        <x:v>Rumah Seulawah 46</x:v>
      </x:c>
      <x:c r="G39" s="20" t="n">
        <x:v>4</x:v>
      </x:c>
      <x:c r="H39" s="20" t="str">
        <x:v>Luar</x:v>
      </x:c>
      <x:c r="I39" s="20" t="str"/>
      <x:c r="J39" s="20" t="str">
        <x:v>Baik</x:v>
      </x:c>
      <x:c r="K39" s="20" t="str">
        <x:v>Pengisian Tempat tidur, sofa, meja makan dan ambal</x:v>
      </x:c>
      <x:c r="L39" s="20" t="str">
        <x:v>Needs Action</x:v>
      </x:c>
      <x:c r="M39" s="20" t="str">
        <x:v>Type B</x:v>
      </x:c>
      <x:c r="N39" s="20" t="str">
        <x:v>Dispenser, AC, Gorden</x:v>
      </x:c>
      <x:c r="O39" s="20" t="str">
        <x:v>Available</x:v>
      </x:c>
      <x:c r="P39" s="20" t="str">
        <x:v>Tidak</x:v>
      </x:c>
      <x:c r="Q39" s="20" t="str">
        <x:v>Accommodation_Arrangement_UPDATED.xlsx</x:v>
      </x:c>
    </x:row>
    <x:row r="40">
      <x:c r="A40" s="20" t="str">
        <x:v>ACC-R-039</x:v>
      </x:c>
      <x:c r="B40" s="20" t="str">
        <x:v>Wijaya Laksana</x:v>
      </x:c>
      <x:c r="C40" s="20" t="str">
        <x:v>Direktur Utama</x:v>
      </x:c>
      <x:c r="D40" s="20" t="str">
        <x:v>PT Pupuk Indonesia Logistik</x:v>
      </x:c>
      <x:c r="E40" s="20" t="str">
        <x:v>Rumah Komplek</x:v>
      </x:c>
      <x:c r="F40" s="20" t="str">
        <x:v>Rumah Seulawah 32</x:v>
      </x:c>
      <x:c r="G40" s="20" t="n">
        <x:v>1</x:v>
      </x:c>
      <x:c r="H40" s="20" t="str"/>
      <x:c r="I40" s="20" t="str">
        <x:v>King Bed</x:v>
      </x:c>
      <x:c r="J40" s="20" t="str">
        <x:v>Baik</x:v>
      </x:c>
      <x:c r="K40" s="20" t="str">
        <x:v>Pengisian Tempat tidur, sofa, meja makan dan ambal</x:v>
      </x:c>
      <x:c r="L40" s="20" t="str">
        <x:v>Needs Action</x:v>
      </x:c>
      <x:c r="M40" s="20" t="str">
        <x:v>Type B</x:v>
      </x:c>
      <x:c r="N40" s="20" t="str">
        <x:v>Dispenser, AC, Gorden</x:v>
      </x:c>
      <x:c r="O40" s="20" t="str">
        <x:v>Occupied</x:v>
      </x:c>
      <x:c r="P40" s="20" t="str">
        <x:v>Ya</x:v>
      </x:c>
      <x:c r="Q40" s="20" t="str">
        <x:v>Accommodation_Arrangement_UPDATED.xlsx</x:v>
      </x:c>
    </x:row>
    <x:row r="41">
      <x:c r="A41" s="20" t="str">
        <x:v>ACC-R-040</x:v>
      </x:c>
      <x:c r="B41" s="20" t="str">
        <x:v>Hree Shanty Bayu</x:v>
      </x:c>
      <x:c r="C41" s="20" t="str">
        <x:v>Direktur Operasional Dan Pengembangan</x:v>
      </x:c>
      <x:c r="D41" s="20" t="str">
        <x:v>PT Pupuk Indonesia Logistik</x:v>
      </x:c>
      <x:c r="E41" s="20" t="str">
        <x:v>Rumah Komplek</x:v>
      </x:c>
      <x:c r="F41" s="20" t="str">
        <x:v>Rumah Seulawah 32</x:v>
      </x:c>
      <x:c r="G41" s="20" t="n">
        <x:v>2</x:v>
      </x:c>
      <x:c r="H41" s="20" t="str"/>
      <x:c r="I41" s="20" t="str">
        <x:v>King Bed</x:v>
      </x:c>
      <x:c r="J41" s="20" t="str">
        <x:v>Baik</x:v>
      </x:c>
      <x:c r="K41" s="20" t="str">
        <x:v>Pengisian Tempat tidur, sofa, meja makan dan ambal</x:v>
      </x:c>
      <x:c r="L41" s="20" t="str">
        <x:v>Needs Action</x:v>
      </x:c>
      <x:c r="M41" s="20" t="str">
        <x:v>Type B</x:v>
      </x:c>
      <x:c r="N41" s="20" t="str">
        <x:v>Sudah ada tempat tidur</x:v>
      </x:c>
      <x:c r="O41" s="20" t="str">
        <x:v>Occupied</x:v>
      </x:c>
      <x:c r="P41" s="20" t="str">
        <x:v>Ya</x:v>
      </x:c>
      <x:c r="Q41" s="20" t="str">
        <x:v>Accommodation_Arrangement_UPDATED.xlsx</x:v>
      </x:c>
    </x:row>
    <x:row r="42">
      <x:c r="A42" s="20" t="str">
        <x:v>ACC-R-041</x:v>
      </x:c>
      <x:c r="B42" s="20" t="str">
        <x:v>Eriza Amranto</x:v>
      </x:c>
      <x:c r="C42" s="20" t="str">
        <x:v>Direktur Administrasi Dan Keuangan</x:v>
      </x:c>
      <x:c r="D42" s="20" t="str">
        <x:v>PT Pupuk Indonesia Logistik</x:v>
      </x:c>
      <x:c r="E42" s="20" t="str">
        <x:v>Rumah Komplek</x:v>
      </x:c>
      <x:c r="F42" s="20" t="str">
        <x:v>Rumah Seulawah 32</x:v>
      </x:c>
      <x:c r="G42" s="20" t="n">
        <x:v>3</x:v>
      </x:c>
      <x:c r="H42" s="20" t="str"/>
      <x:c r="I42" s="20" t="str">
        <x:v>Single Bed</x:v>
      </x:c>
      <x:c r="J42" s="20" t="str">
        <x:v>Baik</x:v>
      </x:c>
      <x:c r="K42" s="20" t="str">
        <x:v>Pengisian Tempat tidur, sofa, meja makan dan ambal</x:v>
      </x:c>
      <x:c r="L42" s="20" t="str">
        <x:v>Needs Action</x:v>
      </x:c>
      <x:c r="M42" s="20" t="str">
        <x:v>Type B</x:v>
      </x:c>
      <x:c r="N42" s="20" t="str">
        <x:v>Dispenser, AC, Gorden</x:v>
      </x:c>
      <x:c r="O42" s="20" t="str">
        <x:v>Occupied</x:v>
      </x:c>
      <x:c r="P42" s="20" t="str">
        <x:v>Ya</x:v>
      </x:c>
      <x:c r="Q42" s="20" t="str">
        <x:v>Accommodation_Arrangement_UPDATED.xlsx</x:v>
      </x:c>
    </x:row>
    <x:row r="43">
      <x:c r="A43" s="20" t="str">
        <x:v>ACC-R-042</x:v>
      </x:c>
      <x:c r="B43" s="20" t="str">
        <x:v>free</x:v>
      </x:c>
      <x:c r="C43" s="20" t="str">
        <x:v>free</x:v>
      </x:c>
      <x:c r="D43" s="20" t="str">
        <x:v>free</x:v>
      </x:c>
      <x:c r="E43" s="20" t="str">
        <x:v>Rumah Komplek</x:v>
      </x:c>
      <x:c r="F43" s="20" t="str">
        <x:v>Rumah Seulawah 32</x:v>
      </x:c>
      <x:c r="G43" s="20" t="n">
        <x:v>4</x:v>
      </x:c>
      <x:c r="H43" s="20" t="str"/>
      <x:c r="I43" s="20" t="str">
        <x:v>Single Bed</x:v>
      </x:c>
      <x:c r="J43" s="20" t="str">
        <x:v>Baik</x:v>
      </x:c>
      <x:c r="K43" s="20" t="str">
        <x:v>Pengisian Tempat tidur, sofa, meja makan dan ambal</x:v>
      </x:c>
      <x:c r="L43" s="20" t="str">
        <x:v>Needs Action</x:v>
      </x:c>
      <x:c r="M43" s="20" t="str">
        <x:v>Type B</x:v>
      </x:c>
      <x:c r="N43" s="20" t="str">
        <x:v>Dispenser, AC, Gorden</x:v>
      </x:c>
      <x:c r="O43" s="20" t="str">
        <x:v>Available</x:v>
      </x:c>
      <x:c r="P43" s="20" t="str">
        <x:v>Tidak</x:v>
      </x:c>
      <x:c r="Q43" s="20" t="str">
        <x:v>Accommodation_Arrangement_UPDATED.xlsx</x:v>
      </x:c>
    </x:row>
    <x:row r="44">
      <x:c r="A44" s="20" t="str">
        <x:v>ACC-R-043</x:v>
      </x:c>
      <x:c r="B44" s="20" t="str">
        <x:v>Yusuf Trudo H.D. M. Nainggolam</x:v>
      </x:c>
      <x:c r="C44" s="20" t="str">
        <x:v>Direktur Utama</x:v>
      </x:c>
      <x:c r="D44" s="20" t="str">
        <x:v>PT Pupuk Indonesia Niaga</x:v>
      </x:c>
      <x:c r="E44" s="20" t="str">
        <x:v>Rumah Komplek</x:v>
      </x:c>
      <x:c r="F44" s="20" t="str">
        <x:v>Rumah Geruete 15</x:v>
      </x:c>
      <x:c r="G44" s="20" t="n">
        <x:v>1</x:v>
      </x:c>
      <x:c r="H44" s="20" t="str"/>
      <x:c r="I44" s="20" t="str">
        <x:v>King Bed</x:v>
      </x:c>
      <x:c r="J44" s="20" t="str">
        <x:v>Baik</x:v>
      </x:c>
      <x:c r="K44" s="20" t="str">
        <x:v>Pengisian Tempat tidur, sofa, meja makan dan ambal</x:v>
      </x:c>
      <x:c r="L44" s="20" t="str">
        <x:v>Needs Action</x:v>
      </x:c>
      <x:c r="M44" s="20" t="str">
        <x:v>Type C</x:v>
      </x:c>
      <x:c r="N44" s="20" t="str">
        <x:v>Dispenser, AC, Gorden</x:v>
      </x:c>
      <x:c r="O44" s="20" t="str">
        <x:v>Occupied</x:v>
      </x:c>
      <x:c r="P44" s="20" t="str">
        <x:v>Ya</x:v>
      </x:c>
      <x:c r="Q44" s="20" t="str">
        <x:v>Accommodation_Arrangement_UPDATED.xlsx</x:v>
      </x:c>
    </x:row>
    <x:row r="45">
      <x:c r="A45" s="20" t="str">
        <x:v>ACC-R-044</x:v>
      </x:c>
      <x:c r="B45" s="20" t="str">
        <x:v>Kiki Lukmanul Hakim</x:v>
      </x:c>
      <x:c r="C45" s="20" t="str">
        <x:v>Direktur Keuangan</x:v>
      </x:c>
      <x:c r="D45" s="20" t="str">
        <x:v>PT Pupuk Indonesia Pangan</x:v>
      </x:c>
      <x:c r="E45" s="20" t="str">
        <x:v>Rumah Komplek</x:v>
      </x:c>
      <x:c r="F45" s="20" t="str">
        <x:v>Rumah Geruete 15</x:v>
      </x:c>
      <x:c r="G45" s="20" t="n">
        <x:v>2</x:v>
      </x:c>
      <x:c r="H45" s="20" t="str"/>
      <x:c r="I45" s="20" t="str">
        <x:v>Queen Bed</x:v>
      </x:c>
      <x:c r="J45" s="20" t="str">
        <x:v>Baik</x:v>
      </x:c>
      <x:c r="K45" s="20" t="str">
        <x:v>Pengisian Tempat tidur, sofa, meja makan dan ambal</x:v>
      </x:c>
      <x:c r="L45" s="20" t="str">
        <x:v>Needs Action</x:v>
      </x:c>
      <x:c r="M45" s="20" t="str">
        <x:v>Type C</x:v>
      </x:c>
      <x:c r="N45" s="20" t="str">
        <x:v>Dispenser, AC, Gorden</x:v>
      </x:c>
      <x:c r="O45" s="20" t="str">
        <x:v>Occupied</x:v>
      </x:c>
      <x:c r="P45" s="20" t="str">
        <x:v>Ya</x:v>
      </x:c>
      <x:c r="Q45" s="20" t="str">
        <x:v>Accommodation_Arrangement_UPDATED.xlsx</x:v>
      </x:c>
    </x:row>
    <x:row r="46">
      <x:c r="A46" s="20" t="str">
        <x:v>ACC-R-045</x:v>
      </x:c>
      <x:c r="B46" s="20" t="str">
        <x:v>free</x:v>
      </x:c>
      <x:c r="C46" s="20" t="str">
        <x:v>free</x:v>
      </x:c>
      <x:c r="D46" s="20" t="str">
        <x:v>free</x:v>
      </x:c>
      <x:c r="E46" s="20" t="str">
        <x:v>Rumah Komplek</x:v>
      </x:c>
      <x:c r="F46" s="20" t="str">
        <x:v>Rumah Geruete 15</x:v>
      </x:c>
      <x:c r="G46" s="20" t="n">
        <x:v>3</x:v>
      </x:c>
      <x:c r="H46" s="20" t="str"/>
      <x:c r="I46" s="20" t="str">
        <x:v>Queen Bed</x:v>
      </x:c>
      <x:c r="J46" s="20" t="str">
        <x:v>Baik</x:v>
      </x:c>
      <x:c r="K46" s="20" t="str">
        <x:v>Pengisian Tempat tidur, sofa, meja makan dan ambal</x:v>
      </x:c>
      <x:c r="L46" s="20" t="str">
        <x:v>Needs Action</x:v>
      </x:c>
      <x:c r="M46" s="20" t="str">
        <x:v>Type C</x:v>
      </x:c>
      <x:c r="N46" s="20" t="str">
        <x:v>Dispenser, AC, Gorden</x:v>
      </x:c>
      <x:c r="O46" s="20" t="str">
        <x:v>Available</x:v>
      </x:c>
      <x:c r="P46" s="20" t="str">
        <x:v>Tidak</x:v>
      </x:c>
      <x:c r="Q46" s="20" t="str">
        <x:v>Accommodation_Arrangement_UPDATED.xlsx</x:v>
      </x:c>
    </x:row>
    <x:row r="47">
      <x:c r="A47" s="20" t="str">
        <x:v>ACC-R-046</x:v>
      </x:c>
      <x:c r="B47" s="20" t="str">
        <x:v>free</x:v>
      </x:c>
      <x:c r="C47" s="20" t="str">
        <x:v>free</x:v>
      </x:c>
      <x:c r="D47" s="20" t="str">
        <x:v>free</x:v>
      </x:c>
      <x:c r="E47" s="20" t="str">
        <x:v>Rumah Komplek</x:v>
      </x:c>
      <x:c r="F47" s="20" t="str">
        <x:v>Rumah Seulawah 36</x:v>
      </x:c>
      <x:c r="G47" s="20" t="n">
        <x:v>1</x:v>
      </x:c>
      <x:c r="H47" s="20" t="str"/>
      <x:c r="I47" s="20" t="str"/>
      <x:c r="J47" s="20" t="str">
        <x:v>Baik</x:v>
      </x:c>
      <x:c r="K47" s="20" t="str">
        <x:v>Pengisian Tempat tidur, sofa, meja makan dan ambal</x:v>
      </x:c>
      <x:c r="L47" s="20" t="str">
        <x:v>Needs Action</x:v>
      </x:c>
      <x:c r="M47" s="20" t="str">
        <x:v>Type B</x:v>
      </x:c>
      <x:c r="N47" s="20" t="str"/>
      <x:c r="O47" s="20" t="str">
        <x:v>Available</x:v>
      </x:c>
      <x:c r="P47" s="20" t="str">
        <x:v>Tidak</x:v>
      </x:c>
      <x:c r="Q47" s="20" t="str">
        <x:v>Accommodation_Arrangement_UPDATED.xlsx</x:v>
      </x:c>
    </x:row>
    <x:row r="48">
      <x:c r="A48" s="20" t="str">
        <x:v>ACC-R-047</x:v>
      </x:c>
      <x:c r="B48" s="20" t="str">
        <x:v>free</x:v>
      </x:c>
      <x:c r="C48" s="20" t="str">
        <x:v>free</x:v>
      </x:c>
      <x:c r="D48" s="20" t="str">
        <x:v>free</x:v>
      </x:c>
      <x:c r="E48" s="20" t="str">
        <x:v>Rumah Komplek</x:v>
      </x:c>
      <x:c r="F48" s="20" t="str">
        <x:v>Rumah Seulawah 36</x:v>
      </x:c>
      <x:c r="G48" s="20" t="n">
        <x:v>2</x:v>
      </x:c>
      <x:c r="H48" s="20" t="str"/>
      <x:c r="I48" s="20" t="str"/>
      <x:c r="J48" s="20" t="str">
        <x:v>Baik</x:v>
      </x:c>
      <x:c r="K48" s="20" t="str">
        <x:v>Pengisian Tempat tidur, sofa, meja makan dan ambal</x:v>
      </x:c>
      <x:c r="L48" s="20" t="str">
        <x:v>Needs Action</x:v>
      </x:c>
      <x:c r="M48" s="20" t="str">
        <x:v>Type B</x:v>
      </x:c>
      <x:c r="N48" s="20" t="str"/>
      <x:c r="O48" s="20" t="str">
        <x:v>Available</x:v>
      </x:c>
      <x:c r="P48" s="20" t="str">
        <x:v>Tidak</x:v>
      </x:c>
      <x:c r="Q48" s="20" t="str">
        <x:v>Accommodation_Arrangement_UPDATED.xlsx</x:v>
      </x:c>
    </x:row>
    <x:row r="49">
      <x:c r="A49" s="20" t="str">
        <x:v>ACC-R-048</x:v>
      </x:c>
      <x:c r="B49" s="20" t="str">
        <x:v>free</x:v>
      </x:c>
      <x:c r="C49" s="20" t="str">
        <x:v>free</x:v>
      </x:c>
      <x:c r="D49" s="20" t="str">
        <x:v>free</x:v>
      </x:c>
      <x:c r="E49" s="20" t="str">
        <x:v>Rumah Komplek</x:v>
      </x:c>
      <x:c r="F49" s="20" t="str">
        <x:v>Rumah Seulawah 36</x:v>
      </x:c>
      <x:c r="G49" s="20" t="n">
        <x:v>3</x:v>
      </x:c>
      <x:c r="H49" s="20" t="str"/>
      <x:c r="I49" s="20" t="str"/>
      <x:c r="J49" s="20" t="str">
        <x:v>Baik</x:v>
      </x:c>
      <x:c r="K49" s="20" t="str">
        <x:v>Pengisian Tempat tidur, sofa, meja makan dan ambal</x:v>
      </x:c>
      <x:c r="L49" s="20" t="str">
        <x:v>Needs Action</x:v>
      </x:c>
      <x:c r="M49" s="20" t="str">
        <x:v>Type B</x:v>
      </x:c>
      <x:c r="N49" s="20" t="str"/>
      <x:c r="O49" s="20" t="str">
        <x:v>Available</x:v>
      </x:c>
      <x:c r="P49" s="20" t="str">
        <x:v>Tidak</x:v>
      </x:c>
      <x:c r="Q49" s="20" t="str">
        <x:v>Accommodation_Arrangement_UPDATED.xlsx</x:v>
      </x:c>
    </x:row>
    <x:row r="50">
      <x:c r="A50" s="20" t="str">
        <x:v>ACC-R-049</x:v>
      </x:c>
      <x:c r="B50" s="20" t="str">
        <x:v>free</x:v>
      </x:c>
      <x:c r="C50" s="20" t="str">
        <x:v>free</x:v>
      </x:c>
      <x:c r="D50" s="20" t="str">
        <x:v>free</x:v>
      </x:c>
      <x:c r="E50" s="20" t="str">
        <x:v>Rumah Komplek</x:v>
      </x:c>
      <x:c r="F50" s="20" t="str">
        <x:v>Rumah Gereudong 15</x:v>
      </x:c>
      <x:c r="G50" s="20" t="n">
        <x:v>1</x:v>
      </x:c>
      <x:c r="H50" s="20" t="str"/>
      <x:c r="I50" s="20" t="str"/>
      <x:c r="J50" s="20" t="str">
        <x:v>Baik</x:v>
      </x:c>
      <x:c r="K50" s="20" t="str">
        <x:v>Pengisian Tempat tidur, sofa, meja makan dan ambal</x:v>
      </x:c>
      <x:c r="L50" s="20" t="str">
        <x:v>Needs Action</x:v>
      </x:c>
      <x:c r="M50" s="20" t="str">
        <x:v>Type C</x:v>
      </x:c>
      <x:c r="N50" s="20" t="str"/>
      <x:c r="O50" s="20" t="str">
        <x:v>Available</x:v>
      </x:c>
      <x:c r="P50" s="20" t="str">
        <x:v>Tidak</x:v>
      </x:c>
      <x:c r="Q50" s="20" t="str">
        <x:v>Accommodation_Arrangement_UPDATED.xlsx</x:v>
      </x:c>
    </x:row>
    <x:row r="51">
      <x:c r="A51" s="20" t="str">
        <x:v>ACC-R-050</x:v>
      </x:c>
      <x:c r="B51" s="20" t="str">
        <x:v>free</x:v>
      </x:c>
      <x:c r="C51" s="20" t="str">
        <x:v>free</x:v>
      </x:c>
      <x:c r="D51" s="20" t="str">
        <x:v>free</x:v>
      </x:c>
      <x:c r="E51" s="20" t="str">
        <x:v>Rumah Komplek</x:v>
      </x:c>
      <x:c r="F51" s="20" t="str">
        <x:v>Rumah Gereudong 15</x:v>
      </x:c>
      <x:c r="G51" s="20" t="n">
        <x:v>2</x:v>
      </x:c>
      <x:c r="H51" s="20" t="str"/>
      <x:c r="I51" s="20" t="str"/>
      <x:c r="J51" s="20" t="str">
        <x:v>Baik</x:v>
      </x:c>
      <x:c r="K51" s="20" t="str">
        <x:v>Pengisian Tempat tidur, sofa, meja makan dan ambal</x:v>
      </x:c>
      <x:c r="L51" s="20" t="str">
        <x:v>Needs Action</x:v>
      </x:c>
      <x:c r="M51" s="20" t="str">
        <x:v>Type C</x:v>
      </x:c>
      <x:c r="N51" s="20" t="str"/>
      <x:c r="O51" s="20" t="str">
        <x:v>Available</x:v>
      </x:c>
      <x:c r="P51" s="20" t="str">
        <x:v>Tidak</x:v>
      </x:c>
      <x:c r="Q51" s="20" t="str">
        <x:v>Accommodation_Arrangement_UPDATED.xlsx</x:v>
      </x:c>
    </x:row>
    <x:row r="52">
      <x:c r="A52" s="20" t="str">
        <x:v>ACC-R-051</x:v>
      </x:c>
      <x:c r="B52" s="20" t="str">
        <x:v>free</x:v>
      </x:c>
      <x:c r="C52" s="20" t="str">
        <x:v>free</x:v>
      </x:c>
      <x:c r="D52" s="20" t="str">
        <x:v>free</x:v>
      </x:c>
      <x:c r="E52" s="20" t="str">
        <x:v>Rumah Komplek</x:v>
      </x:c>
      <x:c r="F52" s="20" t="str">
        <x:v>Rumah Gereudong 15</x:v>
      </x:c>
      <x:c r="G52" s="20" t="n">
        <x:v>3</x:v>
      </x:c>
      <x:c r="H52" s="20" t="str"/>
      <x:c r="I52" s="20" t="str"/>
      <x:c r="J52" s="20" t="str">
        <x:v>Baik</x:v>
      </x:c>
      <x:c r="K52" s="20" t="str">
        <x:v>Pengisian Tempat tidur, sofa, meja makan dan ambal</x:v>
      </x:c>
      <x:c r="L52" s="20" t="str">
        <x:v>Needs Action</x:v>
      </x:c>
      <x:c r="M52" s="20" t="str">
        <x:v>Type C</x:v>
      </x:c>
      <x:c r="N52" s="20" t="str"/>
      <x:c r="O52" s="20" t="str">
        <x:v>Available</x:v>
      </x:c>
      <x:c r="P52" s="20" t="str">
        <x:v>Tidak</x:v>
      </x:c>
      <x:c r="Q52" s="20" t="str">
        <x:v>Accommodation_Arrangement_UPDATED.xlsx</x:v>
      </x:c>
    </x:row>
    <x:row r="53">
      <x:c r="A53" s="20" t="str">
        <x:v>ACC-R-052</x:v>
      </x:c>
      <x:c r="B53" s="20" t="str">
        <x:v>free</x:v>
      </x:c>
      <x:c r="C53" s="20" t="str">
        <x:v>free</x:v>
      </x:c>
      <x:c r="D53" s="20" t="str">
        <x:v>free</x:v>
      </x:c>
      <x:c r="E53" s="20" t="str">
        <x:v>Rumah Komplek</x:v>
      </x:c>
      <x:c r="F53" s="20" t="str">
        <x:v>Rumah Gereudong 15</x:v>
      </x:c>
      <x:c r="G53" s="20" t="n">
        <x:v>4</x:v>
      </x:c>
      <x:c r="H53" s="20" t="str"/>
      <x:c r="I53" s="20" t="str"/>
      <x:c r="J53" s="20" t="str">
        <x:v>Baik</x:v>
      </x:c>
      <x:c r="K53" s="20" t="str">
        <x:v>Pengisian Tempat tidur, sofa, meja makan dan ambal</x:v>
      </x:c>
      <x:c r="L53" s="20" t="str">
        <x:v>Needs Action</x:v>
      </x:c>
      <x:c r="M53" s="20" t="str">
        <x:v>Type C</x:v>
      </x:c>
      <x:c r="N53" s="20" t="str"/>
      <x:c r="O53" s="20" t="str">
        <x:v>Available</x:v>
      </x:c>
      <x:c r="P53" s="20" t="str">
        <x:v>Tidak</x:v>
      </x:c>
      <x:c r="Q53" s="20" t="str">
        <x:v>Accommodation_Arrangement_UPDATED.xlsx</x:v>
      </x:c>
    </x:row>
    <x:row r="54">
      <x:c r="A54" s="20" t="str">
        <x:v>ACC-R-053</x:v>
      </x:c>
      <x:c r="B54" s="20" t="str">
        <x:v>NA</x:v>
      </x:c>
      <x:c r="C54" s="20" t="str">
        <x:v>Sekretaris Perusahaan</x:v>
      </x:c>
      <x:c r="D54" s="20" t="str">
        <x:v>PT Rekayasa Industri</x:v>
      </x:c>
      <x:c r="E54" s="20" t="str">
        <x:v>Rumah Komplek</x:v>
      </x:c>
      <x:c r="F54" s="20" t="str">
        <x:v>Mess NPK</x:v>
      </x:c>
      <x:c r="G54" s="20" t="n">
        <x:v>1</x:v>
      </x:c>
      <x:c r="H54" s="20" t="str">
        <x:v>Dalam</x:v>
      </x:c>
      <x:c r="I54" s="20" t="str">
        <x:v>Queen Bed</x:v>
      </x:c>
      <x:c r="J54" s="20" t="str">
        <x:v>Baik</x:v>
      </x:c>
      <x:c r="K54" s="20" t="str">
        <x:v>Ready</x:v>
      </x:c>
      <x:c r="L54" s="20" t="str">
        <x:v>Ready</x:v>
      </x:c>
      <x:c r="M54" s="20" t="str">
        <x:v>Studio</x:v>
      </x:c>
      <x:c r="N54" s="20" t="str"/>
      <x:c r="O54" s="20" t="str">
        <x:v>Occupied</x:v>
      </x:c>
      <x:c r="P54" s="20" t="str">
        <x:v>Ya</x:v>
      </x:c>
      <x:c r="Q54" s="20" t="str">
        <x:v>Accommodation_Arrangement_UPDATED.xlsx</x:v>
      </x:c>
    </x:row>
    <x:row r="55">
      <x:c r="A55" s="20" t="str">
        <x:v>ACC-R-054</x:v>
      </x:c>
      <x:c r="B55" s="20" t="str">
        <x:v>NA</x:v>
      </x:c>
      <x:c r="C55" s="20" t="str">
        <x:v>Sekretaris Perusahaan</x:v>
      </x:c>
      <x:c r="D55" s="20" t="str">
        <x:v>PT Pupuk Indonesia Logistik</x:v>
      </x:c>
      <x:c r="E55" s="20" t="str">
        <x:v>Rumah Komplek</x:v>
      </x:c>
      <x:c r="F55" s="20" t="str">
        <x:v>Mess NPK</x:v>
      </x:c>
      <x:c r="G55" s="20" t="n">
        <x:v>2</x:v>
      </x:c>
      <x:c r="H55" s="20" t="str">
        <x:v>Dalam</x:v>
      </x:c>
      <x:c r="I55" s="20" t="str">
        <x:v>Queen Bed</x:v>
      </x:c>
      <x:c r="J55" s="20" t="str">
        <x:v>Baik</x:v>
      </x:c>
      <x:c r="K55" s="20" t="str">
        <x:v>Ready</x:v>
      </x:c>
      <x:c r="L55" s="20" t="str">
        <x:v>Ready</x:v>
      </x:c>
      <x:c r="M55" s="20" t="str">
        <x:v>Studio</x:v>
      </x:c>
      <x:c r="N55" s="20" t="str"/>
      <x:c r="O55" s="20" t="str">
        <x:v>Occupied</x:v>
      </x:c>
      <x:c r="P55" s="20" t="str">
        <x:v>Ya</x:v>
      </x:c>
      <x:c r="Q55" s="20" t="str">
        <x:v>Accommodation_Arrangement_UPDATED.xlsx</x:v>
      </x:c>
    </x:row>
    <x:row r="56">
      <x:c r="A56" s="20" t="str">
        <x:v>ACC-R-055</x:v>
      </x:c>
      <x:c r="B56" s="20" t="str">
        <x:v>NA</x:v>
      </x:c>
      <x:c r="C56" s="20" t="str">
        <x:v>Sekretaris Perusahaan</x:v>
      </x:c>
      <x:c r="D56" s="20" t="str">
        <x:v>PT Pupuk Indonesia Niaga</x:v>
      </x:c>
      <x:c r="E56" s="20" t="str">
        <x:v>Rumah Komplek</x:v>
      </x:c>
      <x:c r="F56" s="20" t="str">
        <x:v>Mess NPK</x:v>
      </x:c>
      <x:c r="G56" s="20" t="n">
        <x:v>3</x:v>
      </x:c>
      <x:c r="H56" s="20" t="str">
        <x:v>Dalam</x:v>
      </x:c>
      <x:c r="I56" s="20" t="str">
        <x:v>Queen Bed</x:v>
      </x:c>
      <x:c r="J56" s="20" t="str">
        <x:v>Baik</x:v>
      </x:c>
      <x:c r="K56" s="20" t="str">
        <x:v>Ready</x:v>
      </x:c>
      <x:c r="L56" s="20" t="str">
        <x:v>Ready</x:v>
      </x:c>
      <x:c r="M56" s="20" t="str">
        <x:v>Studio</x:v>
      </x:c>
      <x:c r="N56" s="20" t="str"/>
      <x:c r="O56" s="20" t="str">
        <x:v>Occupied</x:v>
      </x:c>
      <x:c r="P56" s="20" t="str">
        <x:v>Ya</x:v>
      </x:c>
      <x:c r="Q56" s="20" t="str">
        <x:v>Accommodation_Arrangement_UPDATED.xlsx</x:v>
      </x:c>
    </x:row>
    <x:row r="57">
      <x:c r="A57" s="20" t="str">
        <x:v>ACC-R-056</x:v>
      </x:c>
      <x:c r="B57" s="20" t="str">
        <x:v>NA</x:v>
      </x:c>
      <x:c r="C57" s="20" t="str">
        <x:v>Sekretaris Perusahaan</x:v>
      </x:c>
      <x:c r="D57" s="20" t="str">
        <x:v>PT Pupuk Indonesia Pangan</x:v>
      </x:c>
      <x:c r="E57" s="20" t="str">
        <x:v>Rumah Komplek</x:v>
      </x:c>
      <x:c r="F57" s="20" t="str">
        <x:v>Mess NPK</x:v>
      </x:c>
      <x:c r="G57" s="20" t="n">
        <x:v>4</x:v>
      </x:c>
      <x:c r="H57" s="20" t="str">
        <x:v>Dalam</x:v>
      </x:c>
      <x:c r="I57" s="20" t="str">
        <x:v>Queen Bed</x:v>
      </x:c>
      <x:c r="J57" s="20" t="str">
        <x:v>Baik</x:v>
      </x:c>
      <x:c r="K57" s="20" t="str">
        <x:v>Ready</x:v>
      </x:c>
      <x:c r="L57" s="20" t="str">
        <x:v>Ready</x:v>
      </x:c>
      <x:c r="M57" s="20" t="str">
        <x:v>Studio</x:v>
      </x:c>
      <x:c r="N57" s="20" t="str"/>
      <x:c r="O57" s="20" t="str">
        <x:v>Occupied</x:v>
      </x:c>
      <x:c r="P57" s="20" t="str">
        <x:v>Ya</x:v>
      </x:c>
      <x:c r="Q57" s="20" t="str">
        <x:v>Accommodation_Arrangement_UPDATED.xlsx</x:v>
      </x:c>
    </x:row>
    <x:row r="58">
      <x:c r="A58" s="20" t="str">
        <x:v>ACC-R-057</x:v>
      </x:c>
      <x:c r="B58" s="20" t="str">
        <x:v>free</x:v>
      </x:c>
      <x:c r="C58" s="20" t="str">
        <x:v>free</x:v>
      </x:c>
      <x:c r="D58" s="20" t="str">
        <x:v>free</x:v>
      </x:c>
      <x:c r="E58" s="20" t="str">
        <x:v>Rumah Komplek</x:v>
      </x:c>
      <x:c r="F58" s="20" t="str">
        <x:v>Mess NPK</x:v>
      </x:c>
      <x:c r="G58" s="20" t="n">
        <x:v>5</x:v>
      </x:c>
      <x:c r="H58" s="20" t="str">
        <x:v>Dalam</x:v>
      </x:c>
      <x:c r="I58" s="20" t="str">
        <x:v>Queen Bed</x:v>
      </x:c>
      <x:c r="J58" s="20" t="str">
        <x:v>Baik</x:v>
      </x:c>
      <x:c r="K58" s="20" t="str">
        <x:v>Ready</x:v>
      </x:c>
      <x:c r="L58" s="20" t="str">
        <x:v>Ready</x:v>
      </x:c>
      <x:c r="M58" s="20" t="str">
        <x:v>Studio</x:v>
      </x:c>
      <x:c r="N58" s="20" t="str"/>
      <x:c r="O58" s="20" t="str">
        <x:v>Available</x:v>
      </x:c>
      <x:c r="P58" s="20" t="str">
        <x:v>Tidak</x:v>
      </x:c>
      <x:c r="Q58" s="20" t="str">
        <x:v>Accommodation_Arrangement_UPDATED.xlsx</x:v>
      </x:c>
    </x:row>
    <x:row r="59">
      <x:c r="A59" s="20" t="str">
        <x:v>ACC-R-058</x:v>
      </x:c>
      <x:c r="B59" s="20" t="str">
        <x:v>free</x:v>
      </x:c>
      <x:c r="C59" s="20" t="str">
        <x:v>free</x:v>
      </x:c>
      <x:c r="D59" s="20" t="str">
        <x:v>free</x:v>
      </x:c>
      <x:c r="E59" s="20" t="str">
        <x:v>Rumah Komplek</x:v>
      </x:c>
      <x:c r="F59" s="20" t="str">
        <x:v>Mess NPK</x:v>
      </x:c>
      <x:c r="G59" s="20" t="n">
        <x:v>6</x:v>
      </x:c>
      <x:c r="H59" s="20" t="str">
        <x:v>Dalam</x:v>
      </x:c>
      <x:c r="I59" s="20" t="str">
        <x:v>Queen Bed</x:v>
      </x:c>
      <x:c r="J59" s="20" t="str">
        <x:v>Baik</x:v>
      </x:c>
      <x:c r="K59" s="20" t="str">
        <x:v>Ready</x:v>
      </x:c>
      <x:c r="L59" s="20" t="str">
        <x:v>Ready</x:v>
      </x:c>
      <x:c r="M59" s="20" t="str">
        <x:v>Studio</x:v>
      </x:c>
      <x:c r="N59" s="20" t="str"/>
      <x:c r="O59" s="20" t="str">
        <x:v>Available</x:v>
      </x:c>
      <x:c r="P59" s="20" t="str">
        <x:v>Tidak</x:v>
      </x:c>
      <x:c r="Q59" s="20" t="str">
        <x:v>Accommodation_Arrangement_UPDATED.xlsx</x:v>
      </x:c>
    </x:row>
    <x:row r="60">
      <x:c r="A60" s="20" t="str">
        <x:v>ACC-R-059</x:v>
      </x:c>
      <x:c r="B60" s="20" t="str">
        <x:v>free</x:v>
      </x:c>
      <x:c r="C60" s="20" t="str">
        <x:v>free</x:v>
      </x:c>
      <x:c r="D60" s="20" t="str">
        <x:v>free</x:v>
      </x:c>
      <x:c r="E60" s="20" t="str">
        <x:v>Rumah Komplek</x:v>
      </x:c>
      <x:c r="F60" s="20" t="str">
        <x:v>Mess NPK</x:v>
      </x:c>
      <x:c r="G60" s="20" t="n">
        <x:v>7</x:v>
      </x:c>
      <x:c r="H60" s="20" t="str">
        <x:v>Dalam</x:v>
      </x:c>
      <x:c r="I60" s="20" t="str">
        <x:v>Queen Bed</x:v>
      </x:c>
      <x:c r="J60" s="20" t="str">
        <x:v>Baik</x:v>
      </x:c>
      <x:c r="K60" s="20" t="str">
        <x:v>Ready</x:v>
      </x:c>
      <x:c r="L60" s="20" t="str">
        <x:v>Ready</x:v>
      </x:c>
      <x:c r="M60" s="20" t="str">
        <x:v>Studio</x:v>
      </x:c>
      <x:c r="N60" s="20" t="str"/>
      <x:c r="O60" s="20" t="str">
        <x:v>Available</x:v>
      </x:c>
      <x:c r="P60" s="20" t="str">
        <x:v>Tidak</x:v>
      </x:c>
      <x:c r="Q60" s="20" t="str">
        <x:v>Accommodation_Arrangement_UPDATED.xlsx</x:v>
      </x:c>
    </x:row>
    <x:row r="61">
      <x:c r="A61" s="20" t="str">
        <x:v>ACC-R-060</x:v>
      </x:c>
      <x:c r="B61" s="20" t="str">
        <x:v>NA</x:v>
      </x:c>
      <x:c r="C61" s="20" t="str">
        <x:v>Staf SDU</x:v>
      </x:c>
      <x:c r="D61" s="20" t="str">
        <x:v>PT Rekayasa Industri</x:v>
      </x:c>
      <x:c r="E61" s="20" t="str">
        <x:v>Rumah Komplek</x:v>
      </x:c>
      <x:c r="F61" s="20" t="str">
        <x:v>Mess NPK</x:v>
      </x:c>
      <x:c r="G61" s="20" t="n">
        <x:v>1</x:v>
      </x:c>
      <x:c r="H61" s="20" t="str">
        <x:v>Luar</x:v>
      </x:c>
      <x:c r="I61" s="20" t="str">
        <x:v>Queen Bed</x:v>
      </x:c>
      <x:c r="J61" s="20" t="str">
        <x:v>Baik</x:v>
      </x:c>
      <x:c r="K61" s="20" t="str">
        <x:v>Ready</x:v>
      </x:c>
      <x:c r="L61" s="20" t="str">
        <x:v>Ready</x:v>
      </x:c>
      <x:c r="M61" s="20" t="str">
        <x:v>Superior</x:v>
      </x:c>
      <x:c r="N61" s="20" t="str"/>
      <x:c r="O61" s="20" t="str">
        <x:v>Occupied</x:v>
      </x:c>
      <x:c r="P61" s="20" t="str">
        <x:v>Ya</x:v>
      </x:c>
      <x:c r="Q61" s="20" t="str">
        <x:v>Accommodation_Arrangement_UPDATED.xlsx</x:v>
      </x:c>
    </x:row>
    <x:row r="62">
      <x:c r="A62" s="20" t="str">
        <x:v>ACC-R-061</x:v>
      </x:c>
      <x:c r="B62" s="20" t="str">
        <x:v>NA</x:v>
      </x:c>
      <x:c r="C62" s="20" t="str">
        <x:v>Staf SDU</x:v>
      </x:c>
      <x:c r="D62" s="20" t="str">
        <x:v>PT Rekayasa Industri</x:v>
      </x:c>
      <x:c r="E62" s="20" t="str">
        <x:v>Rumah Komplek</x:v>
      </x:c>
      <x:c r="F62" s="20" t="str">
        <x:v>Mess NPK</x:v>
      </x:c>
      <x:c r="G62" s="20" t="n">
        <x:v>2</x:v>
      </x:c>
      <x:c r="H62" s="20" t="str">
        <x:v>Luar</x:v>
      </x:c>
      <x:c r="I62" s="20" t="str">
        <x:v>Queen Bed</x:v>
      </x:c>
      <x:c r="J62" s="20" t="str">
        <x:v>Baik</x:v>
      </x:c>
      <x:c r="K62" s="20" t="str">
        <x:v>Ready</x:v>
      </x:c>
      <x:c r="L62" s="20" t="str">
        <x:v>Ready</x:v>
      </x:c>
      <x:c r="M62" s="20" t="str">
        <x:v>Superior</x:v>
      </x:c>
      <x:c r="N62" s="20" t="str"/>
      <x:c r="O62" s="20" t="str">
        <x:v>Occupied</x:v>
      </x:c>
      <x:c r="P62" s="20" t="str">
        <x:v>Ya</x:v>
      </x:c>
      <x:c r="Q62" s="20" t="str">
        <x:v>Accommodation_Arrangement_UPDATED.xlsx</x:v>
      </x:c>
    </x:row>
    <x:row r="63">
      <x:c r="A63" s="20" t="str">
        <x:v>ACC-R-062</x:v>
      </x:c>
      <x:c r="B63" s="20" t="str">
        <x:v>NA</x:v>
      </x:c>
      <x:c r="C63" s="20" t="str">
        <x:v>Staf SDU</x:v>
      </x:c>
      <x:c r="D63" s="20" t="str">
        <x:v>PT Pupuk Indonesia Logistik</x:v>
      </x:c>
      <x:c r="E63" s="20" t="str">
        <x:v>Rumah Komplek</x:v>
      </x:c>
      <x:c r="F63" s="20" t="str">
        <x:v>Mess NPK</x:v>
      </x:c>
      <x:c r="G63" s="20" t="n">
        <x:v>3</x:v>
      </x:c>
      <x:c r="H63" s="20" t="str">
        <x:v>Luar</x:v>
      </x:c>
      <x:c r="I63" s="20" t="str">
        <x:v>Queen Bed</x:v>
      </x:c>
      <x:c r="J63" s="20" t="str">
        <x:v>Baik</x:v>
      </x:c>
      <x:c r="K63" s="20" t="str">
        <x:v>Ready</x:v>
      </x:c>
      <x:c r="L63" s="20" t="str">
        <x:v>Ready</x:v>
      </x:c>
      <x:c r="M63" s="20" t="str">
        <x:v>Superior</x:v>
      </x:c>
      <x:c r="N63" s="20" t="str"/>
      <x:c r="O63" s="20" t="str">
        <x:v>Occupied</x:v>
      </x:c>
      <x:c r="P63" s="20" t="str">
        <x:v>Ya</x:v>
      </x:c>
      <x:c r="Q63" s="20" t="str">
        <x:v>Accommodation_Arrangement_UPDATED.xlsx</x:v>
      </x:c>
    </x:row>
    <x:row r="64">
      <x:c r="A64" s="20" t="str">
        <x:v>ACC-R-063</x:v>
      </x:c>
      <x:c r="B64" s="20" t="str">
        <x:v>NA</x:v>
      </x:c>
      <x:c r="C64" s="20" t="str">
        <x:v>Staf SDU</x:v>
      </x:c>
      <x:c r="D64" s="20" t="str">
        <x:v>PT Pupuk Indonesia Logistik</x:v>
      </x:c>
      <x:c r="E64" s="20" t="str">
        <x:v>Rumah Komplek</x:v>
      </x:c>
      <x:c r="F64" s="20" t="str">
        <x:v>Mess NPK</x:v>
      </x:c>
      <x:c r="G64" s="20" t="n">
        <x:v>4</x:v>
      </x:c>
      <x:c r="H64" s="20" t="str">
        <x:v>Luar</x:v>
      </x:c>
      <x:c r="I64" s="20" t="str">
        <x:v>Queen Bed</x:v>
      </x:c>
      <x:c r="J64" s="20" t="str">
        <x:v>Baik</x:v>
      </x:c>
      <x:c r="K64" s="20" t="str">
        <x:v>Ready</x:v>
      </x:c>
      <x:c r="L64" s="20" t="str">
        <x:v>Ready</x:v>
      </x:c>
      <x:c r="M64" s="20" t="str">
        <x:v>Superior</x:v>
      </x:c>
      <x:c r="N64" s="20" t="str"/>
      <x:c r="O64" s="20" t="str">
        <x:v>Occupied</x:v>
      </x:c>
      <x:c r="P64" s="20" t="str">
        <x:v>Ya</x:v>
      </x:c>
      <x:c r="Q64" s="20" t="str">
        <x:v>Accommodation_Arrangement_UPDATED.xlsx</x:v>
      </x:c>
    </x:row>
    <x:row r="65">
      <x:c r="A65" s="20" t="str">
        <x:v>ACC-R-064</x:v>
      </x:c>
      <x:c r="B65" s="20" t="str">
        <x:v>NA</x:v>
      </x:c>
      <x:c r="C65" s="20" t="str">
        <x:v>Staf SDU</x:v>
      </x:c>
      <x:c r="D65" s="20" t="str">
        <x:v>PT Pupuk Indonesia Niaga</x:v>
      </x:c>
      <x:c r="E65" s="20" t="str">
        <x:v>Rumah Komplek</x:v>
      </x:c>
      <x:c r="F65" s="20" t="str">
        <x:v>Mess NPK</x:v>
      </x:c>
      <x:c r="G65" s="20" t="n">
        <x:v>5</x:v>
      </x:c>
      <x:c r="H65" s="20" t="str">
        <x:v>Luar</x:v>
      </x:c>
      <x:c r="I65" s="20" t="str">
        <x:v>Queen Bed</x:v>
      </x:c>
      <x:c r="J65" s="20" t="str">
        <x:v>Baik</x:v>
      </x:c>
      <x:c r="K65" s="20" t="str">
        <x:v>Ready</x:v>
      </x:c>
      <x:c r="L65" s="20" t="str">
        <x:v>Ready</x:v>
      </x:c>
      <x:c r="M65" s="20" t="str">
        <x:v>Superior</x:v>
      </x:c>
      <x:c r="N65" s="20" t="str"/>
      <x:c r="O65" s="20" t="str">
        <x:v>Occupied</x:v>
      </x:c>
      <x:c r="P65" s="20" t="str">
        <x:v>Ya</x:v>
      </x:c>
      <x:c r="Q65" s="20" t="str">
        <x:v>Accommodation_Arrangement_UPDATED.xlsx</x:v>
      </x:c>
    </x:row>
    <x:row r="66">
      <x:c r="A66" s="20" t="str">
        <x:v>ACC-R-065</x:v>
      </x:c>
      <x:c r="B66" s="20" t="str">
        <x:v>NA</x:v>
      </x:c>
      <x:c r="C66" s="20" t="str">
        <x:v>Staf SDU</x:v>
      </x:c>
      <x:c r="D66" s="20" t="str">
        <x:v>PT Pupuk Indonesia Niaga</x:v>
      </x:c>
      <x:c r="E66" s="20" t="str">
        <x:v>Rumah Komplek</x:v>
      </x:c>
      <x:c r="F66" s="20" t="str">
        <x:v>Mess NPK</x:v>
      </x:c>
      <x:c r="G66" s="20" t="n">
        <x:v>6</x:v>
      </x:c>
      <x:c r="H66" s="20" t="str">
        <x:v>Luar</x:v>
      </x:c>
      <x:c r="I66" s="20" t="str">
        <x:v>Queen Bed</x:v>
      </x:c>
      <x:c r="J66" s="20" t="str">
        <x:v>Baik</x:v>
      </x:c>
      <x:c r="K66" s="20" t="str">
        <x:v>Ready</x:v>
      </x:c>
      <x:c r="L66" s="20" t="str">
        <x:v>Ready</x:v>
      </x:c>
      <x:c r="M66" s="20" t="str">
        <x:v>Superior</x:v>
      </x:c>
      <x:c r="N66" s="20" t="str"/>
      <x:c r="O66" s="20" t="str">
        <x:v>Occupied</x:v>
      </x:c>
      <x:c r="P66" s="20" t="str">
        <x:v>Ya</x:v>
      </x:c>
      <x:c r="Q66" s="20" t="str">
        <x:v>Accommodation_Arrangement_UPDATED.xlsx</x:v>
      </x:c>
    </x:row>
    <x:row r="67">
      <x:c r="A67" s="20" t="str">
        <x:v>ACC-R-066</x:v>
      </x:c>
      <x:c r="B67" s="20" t="str">
        <x:v>NA</x:v>
      </x:c>
      <x:c r="C67" s="20" t="str">
        <x:v>Staf SDU</x:v>
      </x:c>
      <x:c r="D67" s="20" t="str">
        <x:v>PT Pupuk Indonesia Pangan</x:v>
      </x:c>
      <x:c r="E67" s="20" t="str">
        <x:v>Rumah Komplek</x:v>
      </x:c>
      <x:c r="F67" s="20" t="str">
        <x:v>Mess NPK</x:v>
      </x:c>
      <x:c r="G67" s="20" t="n">
        <x:v>7</x:v>
      </x:c>
      <x:c r="H67" s="20" t="str">
        <x:v>Luar</x:v>
      </x:c>
      <x:c r="I67" s="20" t="str">
        <x:v>Queen Bed</x:v>
      </x:c>
      <x:c r="J67" s="20" t="str">
        <x:v>Baik</x:v>
      </x:c>
      <x:c r="K67" s="20" t="str">
        <x:v>Ready</x:v>
      </x:c>
      <x:c r="L67" s="20" t="str">
        <x:v>Ready</x:v>
      </x:c>
      <x:c r="M67" s="20" t="str">
        <x:v>Superior</x:v>
      </x:c>
      <x:c r="N67" s="20" t="str"/>
      <x:c r="O67" s="20" t="str">
        <x:v>Occupied</x:v>
      </x:c>
      <x:c r="P67" s="20" t="str">
        <x:v>Ya</x:v>
      </x:c>
      <x:c r="Q67" s="20" t="str">
        <x:v>Accommodation_Arrangement_UPDATED.xlsx</x:v>
      </x:c>
    </x:row>
    <x:row r="68">
      <x:c r="A68" s="20" t="str">
        <x:v>ACC-R-067</x:v>
      </x:c>
      <x:c r="B68" s="20" t="str">
        <x:v>NA</x:v>
      </x:c>
      <x:c r="C68" s="20" t="str">
        <x:v>Staf SDU</x:v>
      </x:c>
      <x:c r="D68" s="20" t="str">
        <x:v>PT Pupuk Indonesia Pangan</x:v>
      </x:c>
      <x:c r="E68" s="20" t="str">
        <x:v>Rumah Komplek</x:v>
      </x:c>
      <x:c r="F68" s="20" t="str">
        <x:v>Mess NPK</x:v>
      </x:c>
      <x:c r="G68" s="20" t="n">
        <x:v>8</x:v>
      </x:c>
      <x:c r="H68" s="20" t="str">
        <x:v>Luar</x:v>
      </x:c>
      <x:c r="I68" s="20" t="str">
        <x:v>Queen Bed</x:v>
      </x:c>
      <x:c r="J68" s="20" t="str">
        <x:v>Baik</x:v>
      </x:c>
      <x:c r="K68" s="20" t="str">
        <x:v>Ready</x:v>
      </x:c>
      <x:c r="L68" s="20" t="str">
        <x:v>Ready</x:v>
      </x:c>
      <x:c r="M68" s="20" t="str">
        <x:v>Superior</x:v>
      </x:c>
      <x:c r="N68" s="20" t="str"/>
      <x:c r="O68" s="20" t="str">
        <x:v>Occupied</x:v>
      </x:c>
      <x:c r="P68" s="20" t="str">
        <x:v>Ya</x:v>
      </x:c>
      <x:c r="Q68" s="20" t="str">
        <x:v>Accommodation_Arrangement_UPDATED.xlsx</x:v>
      </x:c>
    </x:row>
    <x:row r="69">
      <x:c r="A69" s="20" t="str">
        <x:v>ACC-R-068</x:v>
      </x:c>
      <x:c r="B69" s="20" t="str">
        <x:v>free</x:v>
      </x:c>
      <x:c r="C69" s="20" t="str">
        <x:v>free</x:v>
      </x:c>
      <x:c r="D69" s="20" t="str">
        <x:v>free</x:v>
      </x:c>
      <x:c r="E69" s="20" t="str">
        <x:v>Rumah Komplek</x:v>
      </x:c>
      <x:c r="F69" s="20" t="str">
        <x:v>Mess NPK</x:v>
      </x:c>
      <x:c r="G69" s="20" t="n">
        <x:v>9</x:v>
      </x:c>
      <x:c r="H69" s="20" t="str">
        <x:v>Luar</x:v>
      </x:c>
      <x:c r="I69" s="20" t="str">
        <x:v>Queen Bed</x:v>
      </x:c>
      <x:c r="J69" s="20" t="str">
        <x:v>Baik</x:v>
      </x:c>
      <x:c r="K69" s="20" t="str">
        <x:v>Ready</x:v>
      </x:c>
      <x:c r="L69" s="20" t="str">
        <x:v>Ready</x:v>
      </x:c>
      <x:c r="M69" s="20" t="str">
        <x:v>Superior</x:v>
      </x:c>
      <x:c r="N69" s="20" t="str"/>
      <x:c r="O69" s="20" t="str">
        <x:v>Available</x:v>
      </x:c>
      <x:c r="P69" s="20" t="str">
        <x:v>Tidak</x:v>
      </x:c>
      <x:c r="Q69" s="20" t="str">
        <x:v>Accommodation_Arrangement_UPDATED.xlsx</x:v>
      </x:c>
    </x:row>
    <x:row r="70">
      <x:c r="A70" s="20" t="str">
        <x:v>ACC-R-069</x:v>
      </x:c>
      <x:c r="B70" s="20" t="str">
        <x:v>free</x:v>
      </x:c>
      <x:c r="C70" s="20" t="str">
        <x:v>free</x:v>
      </x:c>
      <x:c r="D70" s="20" t="str">
        <x:v>free</x:v>
      </x:c>
      <x:c r="E70" s="20" t="str">
        <x:v>Rumah Komplek</x:v>
      </x:c>
      <x:c r="F70" s="20" t="str">
        <x:v>Mess NPK</x:v>
      </x:c>
      <x:c r="G70" s="20" t="n">
        <x:v>10</x:v>
      </x:c>
      <x:c r="H70" s="20" t="str">
        <x:v>Luar</x:v>
      </x:c>
      <x:c r="I70" s="20" t="str">
        <x:v>Queen Bed</x:v>
      </x:c>
      <x:c r="J70" s="20" t="str">
        <x:v>Baik</x:v>
      </x:c>
      <x:c r="K70" s="20" t="str">
        <x:v>Ready</x:v>
      </x:c>
      <x:c r="L70" s="20" t="str">
        <x:v>Ready</x:v>
      </x:c>
      <x:c r="M70" s="20" t="str">
        <x:v>Superior</x:v>
      </x:c>
      <x:c r="N70" s="20" t="str"/>
      <x:c r="O70" s="20" t="str">
        <x:v>Available</x:v>
      </x:c>
      <x:c r="P70" s="20" t="str">
        <x:v>Tidak</x:v>
      </x:c>
      <x:c r="Q70" s="20" t="str">
        <x:v>Accommodation_Arrangement_UPDATED.xlsx</x:v>
      </x:c>
    </x:row>
    <x:row r="71">
      <x:c r="A71" s="20" t="str">
        <x:v>ACC-R-070</x:v>
      </x:c>
      <x:c r="B71" s="20" t="str">
        <x:v>free</x:v>
      </x:c>
      <x:c r="C71" s="20" t="str">
        <x:v>free</x:v>
      </x:c>
      <x:c r="D71" s="20" t="str">
        <x:v>free</x:v>
      </x:c>
      <x:c r="E71" s="20" t="str">
        <x:v>Rumah Komplek</x:v>
      </x:c>
      <x:c r="F71" s="20" t="str">
        <x:v>Mess NPK</x:v>
      </x:c>
      <x:c r="G71" s="20" t="n">
        <x:v>11</x:v>
      </x:c>
      <x:c r="H71" s="20" t="str">
        <x:v>Luar</x:v>
      </x:c>
      <x:c r="I71" s="20" t="str">
        <x:v>Queen Bed</x:v>
      </x:c>
      <x:c r="J71" s="20" t="str">
        <x:v>Baik</x:v>
      </x:c>
      <x:c r="K71" s="20" t="str">
        <x:v>Ready</x:v>
      </x:c>
      <x:c r="L71" s="20" t="str">
        <x:v>Ready</x:v>
      </x:c>
      <x:c r="M71" s="20" t="str">
        <x:v>Superior</x:v>
      </x:c>
      <x:c r="N71" s="20" t="str"/>
      <x:c r="O71" s="20" t="str">
        <x:v>Available</x:v>
      </x:c>
      <x:c r="P71" s="20" t="str">
        <x:v>Tidak</x:v>
      </x:c>
      <x:c r="Q71" s="20" t="str">
        <x:v>Accommodation_Arrangement_UPDATED.xlsx</x:v>
      </x:c>
    </x:row>
    <x:row r="72">
      <x:c r="A72" s="20" t="str">
        <x:v>ACC-R-071</x:v>
      </x:c>
      <x:c r="B72" s="20" t="str">
        <x:v>free</x:v>
      </x:c>
      <x:c r="C72" s="20" t="str">
        <x:v>free</x:v>
      </x:c>
      <x:c r="D72" s="20" t="str">
        <x:v>free</x:v>
      </x:c>
      <x:c r="E72" s="20" t="str">
        <x:v>Rumah Komplek</x:v>
      </x:c>
      <x:c r="F72" s="20" t="str">
        <x:v>Mess NPK</x:v>
      </x:c>
      <x:c r="G72" s="20" t="n">
        <x:v>12</x:v>
      </x:c>
      <x:c r="H72" s="20" t="str">
        <x:v>Luar</x:v>
      </x:c>
      <x:c r="I72" s="20" t="str">
        <x:v>Queen Bed</x:v>
      </x:c>
      <x:c r="J72" s="20" t="str">
        <x:v>Baik</x:v>
      </x:c>
      <x:c r="K72" s="20" t="str">
        <x:v>Ready</x:v>
      </x:c>
      <x:c r="L72" s="20" t="str">
        <x:v>Ready</x:v>
      </x:c>
      <x:c r="M72" s="20" t="str">
        <x:v>Superior</x:v>
      </x:c>
      <x:c r="N72" s="20" t="str"/>
      <x:c r="O72" s="20" t="str">
        <x:v>Available</x:v>
      </x:c>
      <x:c r="P72" s="20" t="str">
        <x:v>Tidak</x:v>
      </x:c>
      <x:c r="Q72" s="20" t="str">
        <x:v>Accommodation_Arrangement_UPDATED.xlsx</x:v>
      </x:c>
    </x:row>
    <x:row r="73">
      <x:c r="A73" s="20" t="str">
        <x:v>ACC-R-072</x:v>
      </x:c>
      <x:c r="B73" s="20" t="str">
        <x:v>free</x:v>
      </x:c>
      <x:c r="C73" s="20" t="str">
        <x:v>free</x:v>
      </x:c>
      <x:c r="D73" s="20" t="str">
        <x:v>free</x:v>
      </x:c>
      <x:c r="E73" s="20" t="str">
        <x:v>Rumah Komplek</x:v>
      </x:c>
      <x:c r="F73" s="20" t="str">
        <x:v>Mess Dormitory 20</x:v>
      </x:c>
      <x:c r="G73" s="20" t="n">
        <x:v>1</x:v>
      </x:c>
      <x:c r="H73" s="20" t="str"/>
      <x:c r="I73" s="20" t="str">
        <x:v>Single Bed</x:v>
      </x:c>
      <x:c r="J73" s="20" t="str">
        <x:v>Baik</x:v>
      </x:c>
      <x:c r="K73" s="20" t="str">
        <x:v>Ready</x:v>
      </x:c>
      <x:c r="L73" s="20" t="str">
        <x:v>Ready</x:v>
      </x:c>
      <x:c r="M73" s="20" t="str">
        <x:v>Superior</x:v>
      </x:c>
      <x:c r="N73" s="20" t="str"/>
      <x:c r="O73" s="20" t="str">
        <x:v>Available</x:v>
      </x:c>
      <x:c r="P73" s="20" t="str">
        <x:v>Tidak</x:v>
      </x:c>
      <x:c r="Q73" s="20" t="str">
        <x:v>Accommodation_Arrangement_UPDATED.xlsx</x:v>
      </x:c>
    </x:row>
    <x:row r="74">
      <x:c r="A74" s="20" t="str">
        <x:v>ACC-R-073</x:v>
      </x:c>
      <x:c r="B74" s="20" t="str">
        <x:v>free</x:v>
      </x:c>
      <x:c r="C74" s="20" t="str">
        <x:v>free</x:v>
      </x:c>
      <x:c r="D74" s="20" t="str">
        <x:v>free</x:v>
      </x:c>
      <x:c r="E74" s="20" t="str">
        <x:v>Rumah Komplek</x:v>
      </x:c>
      <x:c r="F74" s="20" t="str">
        <x:v>Mess Dormitory 20</x:v>
      </x:c>
      <x:c r="G74" s="20" t="n">
        <x:v>2</x:v>
      </x:c>
      <x:c r="H74" s="20" t="str"/>
      <x:c r="I74" s="20" t="str">
        <x:v>Single Bed</x:v>
      </x:c>
      <x:c r="J74" s="20" t="str">
        <x:v>Baik</x:v>
      </x:c>
      <x:c r="K74" s="20" t="str">
        <x:v>Ready</x:v>
      </x:c>
      <x:c r="L74" s="20" t="str">
        <x:v>Ready</x:v>
      </x:c>
      <x:c r="M74" s="20" t="str">
        <x:v>Superior</x:v>
      </x:c>
      <x:c r="N74" s="20" t="str"/>
      <x:c r="O74" s="20" t="str">
        <x:v>Available</x:v>
      </x:c>
      <x:c r="P74" s="20" t="str">
        <x:v>Tidak</x:v>
      </x:c>
      <x:c r="Q74" s="20" t="str">
        <x:v>Accommodation_Arrangement_UPDATED.xlsx</x:v>
      </x:c>
    </x:row>
    <x:row r="75">
      <x:c r="A75" s="20" t="str">
        <x:v>ACC-R-074</x:v>
      </x:c>
      <x:c r="B75" s="20" t="str">
        <x:v>free</x:v>
      </x:c>
      <x:c r="C75" s="20" t="str">
        <x:v>free</x:v>
      </x:c>
      <x:c r="D75" s="20" t="str">
        <x:v>free</x:v>
      </x:c>
      <x:c r="E75" s="20" t="str">
        <x:v>Rumah Komplek</x:v>
      </x:c>
      <x:c r="F75" s="20" t="str">
        <x:v>Mess Dormitory 20</x:v>
      </x:c>
      <x:c r="G75" s="20" t="n">
        <x:v>3</x:v>
      </x:c>
      <x:c r="H75" s="20" t="str"/>
      <x:c r="I75" s="20" t="str">
        <x:v>Single Bed</x:v>
      </x:c>
      <x:c r="J75" s="20" t="str">
        <x:v>Baik</x:v>
      </x:c>
      <x:c r="K75" s="20" t="str">
        <x:v>Ready</x:v>
      </x:c>
      <x:c r="L75" s="20" t="str">
        <x:v>Ready</x:v>
      </x:c>
      <x:c r="M75" s="20" t="str">
        <x:v>Superior</x:v>
      </x:c>
      <x:c r="N75" s="20" t="str"/>
      <x:c r="O75" s="20" t="str">
        <x:v>Available</x:v>
      </x:c>
      <x:c r="P75" s="20" t="str">
        <x:v>Tidak</x:v>
      </x:c>
      <x:c r="Q75" s="20" t="str">
        <x:v>Accommodation_Arrangement_UPDATED.xlsx</x:v>
      </x:c>
    </x:row>
    <x:row r="76">
      <x:c r="A76" s="20" t="str">
        <x:v>ACC-R-075</x:v>
      </x:c>
      <x:c r="B76" s="20" t="str">
        <x:v>free</x:v>
      </x:c>
      <x:c r="C76" s="20" t="str">
        <x:v>free</x:v>
      </x:c>
      <x:c r="D76" s="20" t="str">
        <x:v>free</x:v>
      </x:c>
      <x:c r="E76" s="20" t="str">
        <x:v>Rumah Komplek</x:v>
      </x:c>
      <x:c r="F76" s="20" t="str">
        <x:v>Mess Dormitory 20</x:v>
      </x:c>
      <x:c r="G76" s="20" t="n">
        <x:v>4</x:v>
      </x:c>
      <x:c r="H76" s="20" t="str"/>
      <x:c r="I76" s="20" t="str">
        <x:v>Single Bed</x:v>
      </x:c>
      <x:c r="J76" s="20" t="str">
        <x:v>Baik</x:v>
      </x:c>
      <x:c r="K76" s="20" t="str">
        <x:v>Ready</x:v>
      </x:c>
      <x:c r="L76" s="20" t="str">
        <x:v>Ready</x:v>
      </x:c>
      <x:c r="M76" s="20" t="str">
        <x:v>Superior</x:v>
      </x:c>
      <x:c r="N76" s="20" t="str"/>
      <x:c r="O76" s="20" t="str">
        <x:v>Available</x:v>
      </x:c>
      <x:c r="P76" s="20" t="str">
        <x:v>Tidak</x:v>
      </x:c>
      <x:c r="Q76" s="20" t="str">
        <x:v>Accommodation_Arrangement_UPDATED.xlsx</x:v>
      </x:c>
    </x:row>
    <x:row r="77">
      <x:c r="A77" s="20" t="str">
        <x:v>ACC-R-076</x:v>
      </x:c>
      <x:c r="B77" s="20" t="str">
        <x:v>free</x:v>
      </x:c>
      <x:c r="C77" s="20" t="str">
        <x:v>free</x:v>
      </x:c>
      <x:c r="D77" s="20" t="str">
        <x:v>free</x:v>
      </x:c>
      <x:c r="E77" s="20" t="str">
        <x:v>Rumah Komplek</x:v>
      </x:c>
      <x:c r="F77" s="20" t="str">
        <x:v>Mess Dormitory 20</x:v>
      </x:c>
      <x:c r="G77" s="20" t="n">
        <x:v>5</x:v>
      </x:c>
      <x:c r="H77" s="20" t="str"/>
      <x:c r="I77" s="20" t="str">
        <x:v>Single Bed</x:v>
      </x:c>
      <x:c r="J77" s="20" t="str">
        <x:v>Baik</x:v>
      </x:c>
      <x:c r="K77" s="20" t="str">
        <x:v>Ready</x:v>
      </x:c>
      <x:c r="L77" s="20" t="str">
        <x:v>Ready</x:v>
      </x:c>
      <x:c r="M77" s="20" t="str">
        <x:v>Superior</x:v>
      </x:c>
      <x:c r="N77" s="20" t="str"/>
      <x:c r="O77" s="20" t="str">
        <x:v>Available</x:v>
      </x:c>
      <x:c r="P77" s="20" t="str">
        <x:v>Tidak</x:v>
      </x:c>
      <x:c r="Q77" s="20" t="str">
        <x:v>Accommodation_Arrangement_UPDATED.xlsx</x:v>
      </x:c>
    </x:row>
    <x:row r="78">
      <x:c r="A78" s="20" t="str">
        <x:v>ACC-R-077</x:v>
      </x:c>
      <x:c r="B78" s="20" t="str">
        <x:v>free</x:v>
      </x:c>
      <x:c r="C78" s="20" t="str">
        <x:v>free</x:v>
      </x:c>
      <x:c r="D78" s="20" t="str">
        <x:v>free</x:v>
      </x:c>
      <x:c r="E78" s="20" t="str">
        <x:v>Rumah Komplek</x:v>
      </x:c>
      <x:c r="F78" s="20" t="str">
        <x:v>Mess Dormitory 20</x:v>
      </x:c>
      <x:c r="G78" s="20" t="n">
        <x:v>6</x:v>
      </x:c>
      <x:c r="H78" s="20" t="str"/>
      <x:c r="I78" s="20" t="str">
        <x:v>Single Bed</x:v>
      </x:c>
      <x:c r="J78" s="20" t="str">
        <x:v>Baik</x:v>
      </x:c>
      <x:c r="K78" s="20" t="str">
        <x:v>Ready</x:v>
      </x:c>
      <x:c r="L78" s="20" t="str">
        <x:v>Ready</x:v>
      </x:c>
      <x:c r="M78" s="20" t="str">
        <x:v>Superior</x:v>
      </x:c>
      <x:c r="N78" s="20" t="str"/>
      <x:c r="O78" s="20" t="str">
        <x:v>Available</x:v>
      </x:c>
      <x:c r="P78" s="20" t="str">
        <x:v>Tidak</x:v>
      </x:c>
      <x:c r="Q78" s="20" t="str">
        <x:v>Accommodation_Arrangement_UPDATED.xlsx</x:v>
      </x:c>
    </x:row>
    <x:row r="79">
      <x:c r="A79" s="20" t="str">
        <x:v>ACC-R-078</x:v>
      </x:c>
      <x:c r="B79" s="20" t="str">
        <x:v>free</x:v>
      </x:c>
      <x:c r="C79" s="20" t="str">
        <x:v>free</x:v>
      </x:c>
      <x:c r="D79" s="20" t="str">
        <x:v>free</x:v>
      </x:c>
      <x:c r="E79" s="20" t="str">
        <x:v>Rumah Komplek</x:v>
      </x:c>
      <x:c r="F79" s="20" t="str">
        <x:v>Mess Dormitory 20</x:v>
      </x:c>
      <x:c r="G79" s="20" t="n">
        <x:v>7</x:v>
      </x:c>
      <x:c r="H79" s="20" t="str"/>
      <x:c r="I79" s="20" t="str">
        <x:v>Single Bed</x:v>
      </x:c>
      <x:c r="J79" s="20" t="str">
        <x:v>Baik</x:v>
      </x:c>
      <x:c r="K79" s="20" t="str">
        <x:v>Ready</x:v>
      </x:c>
      <x:c r="L79" s="20" t="str">
        <x:v>Ready</x:v>
      </x:c>
      <x:c r="M79" s="20" t="str">
        <x:v>Superior</x:v>
      </x:c>
      <x:c r="N79" s="20" t="str"/>
      <x:c r="O79" s="20" t="str">
        <x:v>Available</x:v>
      </x:c>
      <x:c r="P79" s="20" t="str">
        <x:v>Tidak</x:v>
      </x:c>
      <x:c r="Q79" s="20" t="str">
        <x:v>Accommodation_Arrangement_UPDATED.xlsx</x:v>
      </x:c>
    </x:row>
    <x:row r="80">
      <x:c r="A80" s="20" t="str">
        <x:v>ACC-R-079</x:v>
      </x:c>
      <x:c r="B80" s="20" t="str">
        <x:v>free</x:v>
      </x:c>
      <x:c r="C80" s="20" t="str">
        <x:v>free</x:v>
      </x:c>
      <x:c r="D80" s="20" t="str">
        <x:v>free</x:v>
      </x:c>
      <x:c r="E80" s="20" t="str">
        <x:v>Rumah Komplek</x:v>
      </x:c>
      <x:c r="F80" s="20" t="str">
        <x:v>Mess Dormitory 20</x:v>
      </x:c>
      <x:c r="G80" s="20" t="n">
        <x:v>8</x:v>
      </x:c>
      <x:c r="H80" s="20" t="str"/>
      <x:c r="I80" s="20" t="str">
        <x:v>Single Bed</x:v>
      </x:c>
      <x:c r="J80" s="20" t="str">
        <x:v>Baik</x:v>
      </x:c>
      <x:c r="K80" s="20" t="str">
        <x:v>Ready</x:v>
      </x:c>
      <x:c r="L80" s="20" t="str">
        <x:v>Ready</x:v>
      </x:c>
      <x:c r="M80" s="20" t="str">
        <x:v>Superior</x:v>
      </x:c>
      <x:c r="N80" s="20" t="str"/>
      <x:c r="O80" s="20" t="str">
        <x:v>Available</x:v>
      </x:c>
      <x:c r="P80" s="20" t="str">
        <x:v>Tidak</x:v>
      </x:c>
      <x:c r="Q80" s="20" t="str">
        <x:v>Accommodation_Arrangement_UPDATED.xlsx</x:v>
      </x:c>
    </x:row>
    <x:row r="81">
      <x:c r="A81" s="20" t="str">
        <x:v>ACC-R-080</x:v>
      </x:c>
      <x:c r="B81" s="20" t="str">
        <x:v>free</x:v>
      </x:c>
      <x:c r="C81" s="20" t="str">
        <x:v>free</x:v>
      </x:c>
      <x:c r="D81" s="20" t="str">
        <x:v>free</x:v>
      </x:c>
      <x:c r="E81" s="20" t="str">
        <x:v>Rumah Komplek</x:v>
      </x:c>
      <x:c r="F81" s="20" t="str">
        <x:v>Mess Dormitory 20</x:v>
      </x:c>
      <x:c r="G81" s="20" t="n">
        <x:v>9</x:v>
      </x:c>
      <x:c r="H81" s="20" t="str"/>
      <x:c r="I81" s="20" t="str">
        <x:v>Single Bed</x:v>
      </x:c>
      <x:c r="J81" s="20" t="str">
        <x:v>Baik</x:v>
      </x:c>
      <x:c r="K81" s="20" t="str">
        <x:v>Ready</x:v>
      </x:c>
      <x:c r="L81" s="20" t="str">
        <x:v>Ready</x:v>
      </x:c>
      <x:c r="M81" s="20" t="str">
        <x:v>Superior</x:v>
      </x:c>
      <x:c r="N81" s="20" t="str"/>
      <x:c r="O81" s="20" t="str">
        <x:v>Available</x:v>
      </x:c>
      <x:c r="P81" s="20" t="str">
        <x:v>Tidak</x:v>
      </x:c>
      <x:c r="Q81" s="20" t="str">
        <x:v>Accommodation_Arrangement_UPDATED.xlsx</x:v>
      </x:c>
    </x:row>
    <x:row r="82">
      <x:c r="A82" s="20" t="str">
        <x:v>ACC-R-081</x:v>
      </x:c>
      <x:c r="B82" s="20" t="str">
        <x:v>free</x:v>
      </x:c>
      <x:c r="C82" s="20" t="str">
        <x:v>free</x:v>
      </x:c>
      <x:c r="D82" s="20" t="str">
        <x:v>free</x:v>
      </x:c>
      <x:c r="E82" s="20" t="str">
        <x:v>Rumah Komplek</x:v>
      </x:c>
      <x:c r="F82" s="20" t="str">
        <x:v>Mess Dormitory 20</x:v>
      </x:c>
      <x:c r="G82" s="20" t="n">
        <x:v>10</x:v>
      </x:c>
      <x:c r="H82" s="20" t="str"/>
      <x:c r="I82" s="20" t="str">
        <x:v>Single Bed</x:v>
      </x:c>
      <x:c r="J82" s="20" t="str">
        <x:v>Baik</x:v>
      </x:c>
      <x:c r="K82" s="20" t="str">
        <x:v>Ready</x:v>
      </x:c>
      <x:c r="L82" s="20" t="str">
        <x:v>Ready</x:v>
      </x:c>
      <x:c r="M82" s="20" t="str">
        <x:v>Superior</x:v>
      </x:c>
      <x:c r="N82" s="20" t="str"/>
      <x:c r="O82" s="20" t="str">
        <x:v>Available</x:v>
      </x:c>
      <x:c r="P82" s="20" t="str">
        <x:v>Tidak</x:v>
      </x:c>
      <x:c r="Q82" s="20" t="str">
        <x:v>Accommodation_Arrangement_UPDATED.xlsx</x:v>
      </x:c>
    </x:row>
    <x:row r="83">
      <x:c r="A83" s="20" t="str">
        <x:v>ACC-R-082</x:v>
      </x:c>
      <x:c r="B83" s="20" t="str">
        <x:v>free</x:v>
      </x:c>
      <x:c r="C83" s="20" t="str">
        <x:v>free</x:v>
      </x:c>
      <x:c r="D83" s="20" t="str">
        <x:v>free</x:v>
      </x:c>
      <x:c r="E83" s="20" t="str">
        <x:v>Rumah Komplek</x:v>
      </x:c>
      <x:c r="F83" s="20" t="str">
        <x:v>Mess Dormitory 20</x:v>
      </x:c>
      <x:c r="G83" s="20" t="n">
        <x:v>11</x:v>
      </x:c>
      <x:c r="H83" s="20" t="str"/>
      <x:c r="I83" s="20" t="str">
        <x:v>Single Bed</x:v>
      </x:c>
      <x:c r="J83" s="20" t="str">
        <x:v>Baik</x:v>
      </x:c>
      <x:c r="K83" s="20" t="str">
        <x:v>Ready</x:v>
      </x:c>
      <x:c r="L83" s="20" t="str">
        <x:v>Ready</x:v>
      </x:c>
      <x:c r="M83" s="20" t="str">
        <x:v>Superior</x:v>
      </x:c>
      <x:c r="N83" s="20" t="str"/>
      <x:c r="O83" s="20" t="str">
        <x:v>Available</x:v>
      </x:c>
      <x:c r="P83" s="20" t="str">
        <x:v>Tidak</x:v>
      </x:c>
      <x:c r="Q83" s="20" t="str">
        <x:v>Accommodation_Arrangement_UPDATED.xlsx</x:v>
      </x:c>
    </x:row>
    <x:row r="84">
      <x:c r="A84" s="20" t="str">
        <x:v>ACC-R-083</x:v>
      </x:c>
      <x:c r="B84" s="20" t="str">
        <x:v>free</x:v>
      </x:c>
      <x:c r="C84" s="20" t="str">
        <x:v>free</x:v>
      </x:c>
      <x:c r="D84" s="20" t="str">
        <x:v>free</x:v>
      </x:c>
      <x:c r="E84" s="20" t="str">
        <x:v>Rumah Komplek</x:v>
      </x:c>
      <x:c r="F84" s="20" t="str">
        <x:v>Mess Dormitory 20</x:v>
      </x:c>
      <x:c r="G84" s="20" t="n">
        <x:v>12</x:v>
      </x:c>
      <x:c r="H84" s="20" t="str"/>
      <x:c r="I84" s="20" t="str">
        <x:v>Single Bed</x:v>
      </x:c>
      <x:c r="J84" s="20" t="str">
        <x:v>Baik</x:v>
      </x:c>
      <x:c r="K84" s="20" t="str">
        <x:v>Ready</x:v>
      </x:c>
      <x:c r="L84" s="20" t="str">
        <x:v>Ready</x:v>
      </x:c>
      <x:c r="M84" s="20" t="str">
        <x:v>Superior</x:v>
      </x:c>
      <x:c r="N84" s="20" t="str"/>
      <x:c r="O84" s="20" t="str">
        <x:v>Available</x:v>
      </x:c>
      <x:c r="P84" s="20" t="str">
        <x:v>Tidak</x:v>
      </x:c>
      <x:c r="Q84" s="20" t="str">
        <x:v>Accommodation_Arrangement_UPDATED.xlsx</x:v>
      </x:c>
    </x:row>
    <x:row r="85">
      <x:c r="A85" s="20" t="str">
        <x:v>ACC-R-084</x:v>
      </x:c>
      <x:c r="B85" s="20" t="str">
        <x:v>free</x:v>
      </x:c>
      <x:c r="C85" s="20" t="str">
        <x:v>free</x:v>
      </x:c>
      <x:c r="D85" s="20" t="str">
        <x:v>free</x:v>
      </x:c>
      <x:c r="E85" s="20" t="str">
        <x:v>Rumah Komplek</x:v>
      </x:c>
      <x:c r="F85" s="20" t="str">
        <x:v>Mess Dormitory 20</x:v>
      </x:c>
      <x:c r="G85" s="20" t="n">
        <x:v>13</x:v>
      </x:c>
      <x:c r="H85" s="20" t="str"/>
      <x:c r="I85" s="20" t="str">
        <x:v>Single Bed</x:v>
      </x:c>
      <x:c r="J85" s="20" t="str">
        <x:v>Baik</x:v>
      </x:c>
      <x:c r="K85" s="20" t="str">
        <x:v>Ready</x:v>
      </x:c>
      <x:c r="L85" s="20" t="str">
        <x:v>Ready</x:v>
      </x:c>
      <x:c r="M85" s="20" t="str">
        <x:v>Superior</x:v>
      </x:c>
      <x:c r="N85" s="20" t="str"/>
      <x:c r="O85" s="20" t="str">
        <x:v>Available</x:v>
      </x:c>
      <x:c r="P85" s="20" t="str">
        <x:v>Tidak</x:v>
      </x:c>
      <x:c r="Q85" s="20" t="str">
        <x:v>Accommodation_Arrangement_UPDATED.xlsx</x:v>
      </x:c>
    </x:row>
    <x:row r="86">
      <x:c r="A86" s="20" t="str">
        <x:v>ACC-R-085</x:v>
      </x:c>
      <x:c r="B86" s="20" t="str">
        <x:v>free</x:v>
      </x:c>
      <x:c r="C86" s="20" t="str">
        <x:v>free</x:v>
      </x:c>
      <x:c r="D86" s="20" t="str">
        <x:v>free</x:v>
      </x:c>
      <x:c r="E86" s="20" t="str">
        <x:v>Rumah Komplek</x:v>
      </x:c>
      <x:c r="F86" s="20" t="str">
        <x:v>Mess Dormitory 20</x:v>
      </x:c>
      <x:c r="G86" s="20" t="n">
        <x:v>14</x:v>
      </x:c>
      <x:c r="H86" s="20" t="str"/>
      <x:c r="I86" s="20" t="str">
        <x:v>Single Bed</x:v>
      </x:c>
      <x:c r="J86" s="20" t="str">
        <x:v>Baik</x:v>
      </x:c>
      <x:c r="K86" s="20" t="str">
        <x:v>Ready</x:v>
      </x:c>
      <x:c r="L86" s="20" t="str">
        <x:v>Ready</x:v>
      </x:c>
      <x:c r="M86" s="20" t="str">
        <x:v>Superior</x:v>
      </x:c>
      <x:c r="N86" s="20" t="str"/>
      <x:c r="O86" s="20" t="str">
        <x:v>Available</x:v>
      </x:c>
      <x:c r="P86" s="20" t="str">
        <x:v>Tidak</x:v>
      </x:c>
      <x:c r="Q86" s="20" t="str">
        <x:v>Accommodation_Arrangement_UPDATED.xlsx</x:v>
      </x:c>
    </x:row>
    <x:row r="87">
      <x:c r="A87" s="20" t="str">
        <x:v>ACC-R-086</x:v>
      </x:c>
      <x:c r="B87" s="20" t="str">
        <x:v>free</x:v>
      </x:c>
      <x:c r="C87" s="20" t="str">
        <x:v>free</x:v>
      </x:c>
      <x:c r="D87" s="20" t="str">
        <x:v>free</x:v>
      </x:c>
      <x:c r="E87" s="20" t="str">
        <x:v>Rumah Komplek</x:v>
      </x:c>
      <x:c r="F87" s="20" t="str">
        <x:v>Mess Dormitory 20</x:v>
      </x:c>
      <x:c r="G87" s="20" t="n">
        <x:v>15</x:v>
      </x:c>
      <x:c r="H87" s="20" t="str"/>
      <x:c r="I87" s="20" t="str">
        <x:v>Single Bed</x:v>
      </x:c>
      <x:c r="J87" s="20" t="str">
        <x:v>Baik</x:v>
      </x:c>
      <x:c r="K87" s="20" t="str">
        <x:v>Ready</x:v>
      </x:c>
      <x:c r="L87" s="20" t="str">
        <x:v>Ready</x:v>
      </x:c>
      <x:c r="M87" s="20" t="str">
        <x:v>Superior</x:v>
      </x:c>
      <x:c r="N87" s="20" t="str"/>
      <x:c r="O87" s="20" t="str">
        <x:v>Available</x:v>
      </x:c>
      <x:c r="P87" s="20" t="str">
        <x:v>Tidak</x:v>
      </x:c>
      <x:c r="Q87" s="20" t="str">
        <x:v>Accommodation_Arrangement_UPDATED.xlsx</x:v>
      </x:c>
    </x:row>
    <x:row r="88">
      <x:c r="A88" s="20" t="str">
        <x:v>ACC-R-087</x:v>
      </x:c>
      <x:c r="B88" s="20" t="str">
        <x:v>free</x:v>
      </x:c>
      <x:c r="C88" s="20" t="str">
        <x:v>free</x:v>
      </x:c>
      <x:c r="D88" s="20" t="str">
        <x:v>free</x:v>
      </x:c>
      <x:c r="E88" s="20" t="str">
        <x:v>Rumah Komplek</x:v>
      </x:c>
      <x:c r="F88" s="20" t="str">
        <x:v>Mess Dormitory 20</x:v>
      </x:c>
      <x:c r="G88" s="20" t="n">
        <x:v>16</x:v>
      </x:c>
      <x:c r="H88" s="20" t="str"/>
      <x:c r="I88" s="20" t="str">
        <x:v>Single Bed</x:v>
      </x:c>
      <x:c r="J88" s="20" t="str">
        <x:v>Baik</x:v>
      </x:c>
      <x:c r="K88" s="20" t="str">
        <x:v>Ready</x:v>
      </x:c>
      <x:c r="L88" s="20" t="str">
        <x:v>Ready</x:v>
      </x:c>
      <x:c r="M88" s="20" t="str">
        <x:v>Superior</x:v>
      </x:c>
      <x:c r="N88" s="20" t="str"/>
      <x:c r="O88" s="20" t="str">
        <x:v>Available</x:v>
      </x:c>
      <x:c r="P88" s="20" t="str">
        <x:v>Tidak</x:v>
      </x:c>
      <x:c r="Q88" s="20" t="str">
        <x:v>Accommodation_Arrangement_UPDATED.xlsx</x:v>
      </x:c>
    </x:row>
    <x:row r="89">
      <x:c r="A89" s="20" t="str">
        <x:v>ACC-R-088</x:v>
      </x:c>
      <x:c r="B89" s="20" t="str">
        <x:v>free</x:v>
      </x:c>
      <x:c r="C89" s="20" t="str">
        <x:v>free</x:v>
      </x:c>
      <x:c r="D89" s="20" t="str">
        <x:v>free</x:v>
      </x:c>
      <x:c r="E89" s="20" t="str">
        <x:v>Rumah Komplek</x:v>
      </x:c>
      <x:c r="F89" s="20" t="str">
        <x:v>Mess Dormitory 20</x:v>
      </x:c>
      <x:c r="G89" s="20" t="n">
        <x:v>17</x:v>
      </x:c>
      <x:c r="H89" s="20" t="str"/>
      <x:c r="I89" s="20" t="str">
        <x:v>Single Bed</x:v>
      </x:c>
      <x:c r="J89" s="20" t="str">
        <x:v>Baik</x:v>
      </x:c>
      <x:c r="K89" s="20" t="str">
        <x:v>Ready</x:v>
      </x:c>
      <x:c r="L89" s="20" t="str">
        <x:v>Ready</x:v>
      </x:c>
      <x:c r="M89" s="20" t="str">
        <x:v>Superior</x:v>
      </x:c>
      <x:c r="N89" s="20" t="str"/>
      <x:c r="O89" s="20" t="str">
        <x:v>Available</x:v>
      </x:c>
      <x:c r="P89" s="20" t="str">
        <x:v>Tidak</x:v>
      </x:c>
      <x:c r="Q89" s="20" t="str">
        <x:v>Accommodation_Arrangement_UPDATED.xlsx</x:v>
      </x:c>
    </x:row>
    <x:row r="90">
      <x:c r="A90" s="20" t="str">
        <x:v>ACC-R-089</x:v>
      </x:c>
      <x:c r="B90" s="20" t="str">
        <x:v>free</x:v>
      </x:c>
      <x:c r="C90" s="20" t="str">
        <x:v>free</x:v>
      </x:c>
      <x:c r="D90" s="20" t="str">
        <x:v>free</x:v>
      </x:c>
      <x:c r="E90" s="20" t="str">
        <x:v>Rumah Komplek</x:v>
      </x:c>
      <x:c r="F90" s="20" t="str">
        <x:v>Mess Dormitory 20</x:v>
      </x:c>
      <x:c r="G90" s="20" t="n">
        <x:v>18</x:v>
      </x:c>
      <x:c r="H90" s="20" t="str"/>
      <x:c r="I90" s="20" t="str">
        <x:v>Single Bed</x:v>
      </x:c>
      <x:c r="J90" s="20" t="str">
        <x:v>Baik</x:v>
      </x:c>
      <x:c r="K90" s="20" t="str">
        <x:v>Ready</x:v>
      </x:c>
      <x:c r="L90" s="20" t="str">
        <x:v>Ready</x:v>
      </x:c>
      <x:c r="M90" s="20" t="str">
        <x:v>Superior</x:v>
      </x:c>
      <x:c r="N90" s="20" t="str"/>
      <x:c r="O90" s="20" t="str">
        <x:v>Available</x:v>
      </x:c>
      <x:c r="P90" s="20" t="str">
        <x:v>Tidak</x:v>
      </x:c>
      <x:c r="Q90" s="20" t="str">
        <x:v>Accommodation_Arrangement_UPDATED.xlsx</x:v>
      </x:c>
    </x:row>
    <x:row r="91">
      <x:c r="A91" s="20" t="str">
        <x:v>ACC-R-090</x:v>
      </x:c>
      <x:c r="B91" s="20" t="str">
        <x:v>free</x:v>
      </x:c>
      <x:c r="C91" s="20" t="str">
        <x:v>free</x:v>
      </x:c>
      <x:c r="D91" s="20" t="str">
        <x:v>free</x:v>
      </x:c>
      <x:c r="E91" s="20" t="str">
        <x:v>Rumah Komplek</x:v>
      </x:c>
      <x:c r="F91" s="20" t="str">
        <x:v>Mess Dormitory 20</x:v>
      </x:c>
      <x:c r="G91" s="20" t="n">
        <x:v>19</x:v>
      </x:c>
      <x:c r="H91" s="20" t="str"/>
      <x:c r="I91" s="20" t="str">
        <x:v>Single Bed</x:v>
      </x:c>
      <x:c r="J91" s="20" t="str">
        <x:v>Baik</x:v>
      </x:c>
      <x:c r="K91" s="20" t="str">
        <x:v>Ready</x:v>
      </x:c>
      <x:c r="L91" s="20" t="str">
        <x:v>Ready</x:v>
      </x:c>
      <x:c r="M91" s="20" t="str">
        <x:v>Superior</x:v>
      </x:c>
      <x:c r="N91" s="20" t="str"/>
      <x:c r="O91" s="20" t="str">
        <x:v>Available</x:v>
      </x:c>
      <x:c r="P91" s="20" t="str">
        <x:v>Tidak</x:v>
      </x:c>
      <x:c r="Q91" s="20" t="str">
        <x:v>Accommodation_Arrangement_UPDATED.xlsx</x:v>
      </x:c>
    </x:row>
    <x:row r="92">
      <x:c r="A92" s="20" t="str">
        <x:v>ACC-R-091</x:v>
      </x:c>
      <x:c r="B92" s="20" t="str">
        <x:v>free</x:v>
      </x:c>
      <x:c r="C92" s="20" t="str">
        <x:v>free</x:v>
      </x:c>
      <x:c r="D92" s="20" t="str">
        <x:v>free</x:v>
      </x:c>
      <x:c r="E92" s="20" t="str">
        <x:v>Rumah Komplek</x:v>
      </x:c>
      <x:c r="F92" s="20" t="str">
        <x:v>Mess Dormitory 20</x:v>
      </x:c>
      <x:c r="G92" s="20" t="n">
        <x:v>20</x:v>
      </x:c>
      <x:c r="H92" s="20" t="str"/>
      <x:c r="I92" s="20" t="str">
        <x:v>Single Bed</x:v>
      </x:c>
      <x:c r="J92" s="20" t="str">
        <x:v>Baik</x:v>
      </x:c>
      <x:c r="K92" s="20" t="str">
        <x:v>Ready</x:v>
      </x:c>
      <x:c r="L92" s="20" t="str">
        <x:v>Ready</x:v>
      </x:c>
      <x:c r="M92" s="20" t="str">
        <x:v>Superior</x:v>
      </x:c>
      <x:c r="N92" s="20" t="str"/>
      <x:c r="O92" s="20" t="str">
        <x:v>Available</x:v>
      </x:c>
      <x:c r="P92" s="20" t="str">
        <x:v>Tidak</x:v>
      </x:c>
      <x:c r="Q92" s="20" t="str">
        <x:v>Accommodation_Arrangement_UPDATED.xlsx</x:v>
      </x:c>
    </x:row>
    <x:row r="93">
      <x:c r="A93" s="20" t="str">
        <x:v>ACC-R-092</x:v>
      </x:c>
      <x:c r="B93" s="20" t="str">
        <x:v>NA</x:v>
      </x:c>
      <x:c r="C93" s="20" t="str">
        <x:v>Sekretaris Perusahaan</x:v>
      </x:c>
      <x:c r="D93" s="20" t="str">
        <x:v>PT Petrokimia Gresik</x:v>
      </x:c>
      <x:c r="E93" s="20" t="str">
        <x:v>Rumah Komplek</x:v>
      </x:c>
      <x:c r="F93" s="20" t="str">
        <x:v>Mess Paroe 20</x:v>
      </x:c>
      <x:c r="G93" s="20" t="n">
        <x:v>1</x:v>
      </x:c>
      <x:c r="H93" s="20" t="str"/>
      <x:c r="I93" s="20" t="str">
        <x:v>Twin Bed</x:v>
      </x:c>
      <x:c r="J93" s="20" t="str">
        <x:v>Baik</x:v>
      </x:c>
      <x:c r="K93" s="20" t="str">
        <x:v>Ready</x:v>
      </x:c>
      <x:c r="L93" s="20" t="str">
        <x:v>Ready</x:v>
      </x:c>
      <x:c r="M93" s="20" t="str"/>
      <x:c r="N93" s="20" t="str"/>
      <x:c r="O93" s="20" t="str">
        <x:v>Occupied</x:v>
      </x:c>
      <x:c r="P93" s="20" t="str">
        <x:v>Ya</x:v>
      </x:c>
      <x:c r="Q93" s="20" t="str">
        <x:v>Accommodation_Arrangement_UPDATED.xlsx</x:v>
      </x:c>
    </x:row>
    <x:row r="94">
      <x:c r="A94" s="20" t="str">
        <x:v>ACC-R-093</x:v>
      </x:c>
      <x:c r="B94" s="20" t="str">
        <x:v>NA</x:v>
      </x:c>
      <x:c r="C94" s="20" t="str">
        <x:v>Staf SDU</x:v>
      </x:c>
      <x:c r="D94" s="20" t="str">
        <x:v>PT Petrokimia Gresik</x:v>
      </x:c>
      <x:c r="E94" s="20" t="str">
        <x:v>Rumah Komplek</x:v>
      </x:c>
      <x:c r="F94" s="20" t="str">
        <x:v>Mess Paroe 20</x:v>
      </x:c>
      <x:c r="G94" s="20" t="n">
        <x:v>2</x:v>
      </x:c>
      <x:c r="H94" s="20" t="str"/>
      <x:c r="I94" s="20" t="str">
        <x:v>Twin Bed</x:v>
      </x:c>
      <x:c r="J94" s="20" t="str">
        <x:v>Baik</x:v>
      </x:c>
      <x:c r="K94" s="20" t="str">
        <x:v>Ready</x:v>
      </x:c>
      <x:c r="L94" s="20" t="str">
        <x:v>Ready</x:v>
      </x:c>
      <x:c r="M94" s="20" t="str"/>
      <x:c r="N94" s="20" t="str"/>
      <x:c r="O94" s="20" t="str">
        <x:v>Occupied</x:v>
      </x:c>
      <x:c r="P94" s="20" t="str">
        <x:v>Ya</x:v>
      </x:c>
      <x:c r="Q94" s="20" t="str">
        <x:v>Accommodation_Arrangement_UPDATED.xlsx</x:v>
      </x:c>
    </x:row>
    <x:row r="95">
      <x:c r="A95" s="20" t="str">
        <x:v>ACC-R-094</x:v>
      </x:c>
      <x:c r="B95" s="20" t="str">
        <x:v>NA</x:v>
      </x:c>
      <x:c r="C95" s="20" t="str">
        <x:v>Staf SDU</x:v>
      </x:c>
      <x:c r="D95" s="20" t="str">
        <x:v>PT Petrokimia Gresik</x:v>
      </x:c>
      <x:c r="E95" s="20" t="str">
        <x:v>Rumah Komplek</x:v>
      </x:c>
      <x:c r="F95" s="20" t="str">
        <x:v>Mess Paroe 20</x:v>
      </x:c>
      <x:c r="G95" s="20" t="n">
        <x:v>3</x:v>
      </x:c>
      <x:c r="H95" s="20" t="str"/>
      <x:c r="I95" s="20" t="str">
        <x:v>Twin Bed</x:v>
      </x:c>
      <x:c r="J95" s="20" t="str">
        <x:v>Baik</x:v>
      </x:c>
      <x:c r="K95" s="20" t="str">
        <x:v>Ready</x:v>
      </x:c>
      <x:c r="L95" s="20" t="str">
        <x:v>Ready</x:v>
      </x:c>
      <x:c r="M95" s="20" t="str"/>
      <x:c r="N95" s="20" t="str"/>
      <x:c r="O95" s="20" t="str">
        <x:v>Occupied</x:v>
      </x:c>
      <x:c r="P95" s="20" t="str">
        <x:v>Ya</x:v>
      </x:c>
      <x:c r="Q95" s="20" t="str">
        <x:v>Accommodation_Arrangement_UPDATED.xlsx</x:v>
      </x:c>
    </x:row>
    <x:row r="96">
      <x:c r="A96" s="20" t="str">
        <x:v>ACC-R-095</x:v>
      </x:c>
      <x:c r="B96" s="20" t="str">
        <x:v>NA</x:v>
      </x:c>
      <x:c r="C96" s="20" t="str">
        <x:v>Sekretaris Perusahaan</x:v>
      </x:c>
      <x:c r="D96" s="20" t="str">
        <x:v>PT Pupuk Kalimantan Timur</x:v>
      </x:c>
      <x:c r="E96" s="20" t="str">
        <x:v>Rumah Komplek</x:v>
      </x:c>
      <x:c r="F96" s="20" t="str">
        <x:v>Mess Paroe 22</x:v>
      </x:c>
      <x:c r="G96" s="20" t="n">
        <x:v>1</x:v>
      </x:c>
      <x:c r="H96" s="20" t="str"/>
      <x:c r="I96" s="20" t="str">
        <x:v>Twin Bed</x:v>
      </x:c>
      <x:c r="J96" s="20" t="str">
        <x:v>Baik</x:v>
      </x:c>
      <x:c r="K96" s="20" t="str">
        <x:v>Ready</x:v>
      </x:c>
      <x:c r="L96" s="20" t="str">
        <x:v>Ready</x:v>
      </x:c>
      <x:c r="M96" s="20" t="str"/>
      <x:c r="N96" s="20" t="str"/>
      <x:c r="O96" s="20" t="str">
        <x:v>Occupied</x:v>
      </x:c>
      <x:c r="P96" s="20" t="str">
        <x:v>Ya</x:v>
      </x:c>
      <x:c r="Q96" s="20" t="str">
        <x:v>Accommodation_Arrangement_UPDATED.xlsx</x:v>
      </x:c>
    </x:row>
    <x:row r="97">
      <x:c r="A97" s="20" t="str">
        <x:v>ACC-R-096</x:v>
      </x:c>
      <x:c r="B97" s="20" t="str">
        <x:v>NA</x:v>
      </x:c>
      <x:c r="C97" s="20" t="str">
        <x:v>Staf SDU</x:v>
      </x:c>
      <x:c r="D97" s="20" t="str">
        <x:v>PT Pupuk Kalimantan Timur</x:v>
      </x:c>
      <x:c r="E97" s="20" t="str">
        <x:v>Rumah Komplek</x:v>
      </x:c>
      <x:c r="F97" s="20" t="str">
        <x:v>Mess Paroe 22</x:v>
      </x:c>
      <x:c r="G97" s="20" t="n">
        <x:v>2</x:v>
      </x:c>
      <x:c r="H97" s="20" t="str"/>
      <x:c r="I97" s="20" t="str">
        <x:v>Twin Bed</x:v>
      </x:c>
      <x:c r="J97" s="20" t="str">
        <x:v>Baik</x:v>
      </x:c>
      <x:c r="K97" s="20" t="str">
        <x:v>Ready</x:v>
      </x:c>
      <x:c r="L97" s="20" t="str">
        <x:v>Ready</x:v>
      </x:c>
      <x:c r="M97" s="20" t="str"/>
      <x:c r="N97" s="20" t="str"/>
      <x:c r="O97" s="20" t="str">
        <x:v>Occupied</x:v>
      </x:c>
      <x:c r="P97" s="20" t="str">
        <x:v>Ya</x:v>
      </x:c>
      <x:c r="Q97" s="20" t="str">
        <x:v>Accommodation_Arrangement_UPDATED.xlsx</x:v>
      </x:c>
    </x:row>
    <x:row r="98">
      <x:c r="A98" s="20" t="str">
        <x:v>ACC-R-097</x:v>
      </x:c>
      <x:c r="B98" s="20" t="str">
        <x:v>NA</x:v>
      </x:c>
      <x:c r="C98" s="20" t="str">
        <x:v>Staf SDU</x:v>
      </x:c>
      <x:c r="D98" s="20" t="str">
        <x:v>PT Pupuk Kalimantan Timur</x:v>
      </x:c>
      <x:c r="E98" s="20" t="str">
        <x:v>Rumah Komplek</x:v>
      </x:c>
      <x:c r="F98" s="20" t="str">
        <x:v>Mess Paroe 22</x:v>
      </x:c>
      <x:c r="G98" s="20" t="n">
        <x:v>3</x:v>
      </x:c>
      <x:c r="H98" s="20" t="str"/>
      <x:c r="I98" s="20" t="str">
        <x:v>Twin Bed</x:v>
      </x:c>
      <x:c r="J98" s="20" t="str">
        <x:v>Baik</x:v>
      </x:c>
      <x:c r="K98" s="20" t="str">
        <x:v>Ready</x:v>
      </x:c>
      <x:c r="L98" s="20" t="str">
        <x:v>Ready</x:v>
      </x:c>
      <x:c r="M98" s="20" t="str"/>
      <x:c r="N98" s="20" t="str"/>
      <x:c r="O98" s="20" t="str">
        <x:v>Occupied</x:v>
      </x:c>
      <x:c r="P98" s="20" t="str">
        <x:v>Ya</x:v>
      </x:c>
      <x:c r="Q98" s="20" t="str">
        <x:v>Accommodation_Arrangement_UPDATED.xlsx</x:v>
      </x:c>
    </x:row>
    <x:row r="99">
      <x:c r="A99" s="20" t="str">
        <x:v>ACC-R-098</x:v>
      </x:c>
      <x:c r="B99" s="20" t="str">
        <x:v>NA</x:v>
      </x:c>
      <x:c r="C99" s="20" t="str">
        <x:v>Sekretaris Perusahaan</x:v>
      </x:c>
      <x:c r="D99" s="20" t="str">
        <x:v>PT Pupuk Indonesia (Persero)</x:v>
      </x:c>
      <x:c r="E99" s="20" t="str">
        <x:v>Rumah Komplek</x:v>
      </x:c>
      <x:c r="F99" s="20" t="str">
        <x:v>Mess Paroe 24</x:v>
      </x:c>
      <x:c r="G99" s="20" t="n">
        <x:v>1</x:v>
      </x:c>
      <x:c r="H99" s="20" t="str"/>
      <x:c r="I99" s="20" t="str">
        <x:v>Twin Bed</x:v>
      </x:c>
      <x:c r="J99" s="20" t="str">
        <x:v>Baik</x:v>
      </x:c>
      <x:c r="K99" s="20" t="str">
        <x:v>Ready</x:v>
      </x:c>
      <x:c r="L99" s="20" t="str">
        <x:v>Ready</x:v>
      </x:c>
      <x:c r="M99" s="20" t="str"/>
      <x:c r="N99" s="20" t="str"/>
      <x:c r="O99" s="20" t="str">
        <x:v>Occupied</x:v>
      </x:c>
      <x:c r="P99" s="20" t="str">
        <x:v>Ya</x:v>
      </x:c>
      <x:c r="Q99" s="20" t="str">
        <x:v>Accommodation_Arrangement_UPDATED.xlsx</x:v>
      </x:c>
    </x:row>
    <x:row r="100">
      <x:c r="A100" s="20" t="str">
        <x:v>ACC-R-099</x:v>
      </x:c>
      <x:c r="B100" s="20" t="str">
        <x:v>NA</x:v>
      </x:c>
      <x:c r="C100" s="20" t="str">
        <x:v>Staf SDU</x:v>
      </x:c>
      <x:c r="D100" s="20" t="str">
        <x:v>PT Pupuk Indonesia (Persero)</x:v>
      </x:c>
      <x:c r="E100" s="20" t="str">
        <x:v>Rumah Komplek</x:v>
      </x:c>
      <x:c r="F100" s="20" t="str">
        <x:v>Mess Paroe 24</x:v>
      </x:c>
      <x:c r="G100" s="20" t="n">
        <x:v>2</x:v>
      </x:c>
      <x:c r="H100" s="20" t="str"/>
      <x:c r="I100" s="20" t="str">
        <x:v>Twin Bed</x:v>
      </x:c>
      <x:c r="J100" s="20" t="str">
        <x:v>Baik</x:v>
      </x:c>
      <x:c r="K100" s="20" t="str">
        <x:v>Ready</x:v>
      </x:c>
      <x:c r="L100" s="20" t="str">
        <x:v>Ready</x:v>
      </x:c>
      <x:c r="M100" s="20" t="str"/>
      <x:c r="N100" s="20" t="str"/>
      <x:c r="O100" s="20" t="str">
        <x:v>Occupied</x:v>
      </x:c>
      <x:c r="P100" s="20" t="str">
        <x:v>Ya</x:v>
      </x:c>
      <x:c r="Q100" s="20" t="str">
        <x:v>Accommodation_Arrangement_UPDATED.xlsx</x:v>
      </x:c>
    </x:row>
    <x:row r="101">
      <x:c r="A101" s="20" t="str">
        <x:v>ACC-R-100</x:v>
      </x:c>
      <x:c r="B101" s="20" t="str">
        <x:v>NA</x:v>
      </x:c>
      <x:c r="C101" s="20" t="str">
        <x:v>Staf SDU</x:v>
      </x:c>
      <x:c r="D101" s="20" t="str">
        <x:v>PT Pupuk Indonesia (Persero)</x:v>
      </x:c>
      <x:c r="E101" s="20" t="str">
        <x:v>Rumah Komplek</x:v>
      </x:c>
      <x:c r="F101" s="20" t="str">
        <x:v>Mess Paroe 24</x:v>
      </x:c>
      <x:c r="G101" s="20" t="n">
        <x:v>3</x:v>
      </x:c>
      <x:c r="H101" s="20" t="str"/>
      <x:c r="I101" s="20" t="str">
        <x:v>Twin Bed</x:v>
      </x:c>
      <x:c r="J101" s="20" t="str">
        <x:v>Baik</x:v>
      </x:c>
      <x:c r="K101" s="20" t="str">
        <x:v>Ready</x:v>
      </x:c>
      <x:c r="L101" s="20" t="str">
        <x:v>Ready</x:v>
      </x:c>
      <x:c r="M101" s="20" t="str"/>
      <x:c r="N101" s="20" t="str"/>
      <x:c r="O101" s="20" t="str">
        <x:v>Occupied</x:v>
      </x:c>
      <x:c r="P101" s="20" t="str">
        <x:v>Ya</x:v>
      </x:c>
      <x:c r="Q101" s="20" t="str">
        <x:v>Accommodation_Arrangement_UPDATED.xlsx</x:v>
      </x:c>
    </x:row>
    <x:row r="102">
      <x:c r="A102" s="20" t="str">
        <x:v>ACC-R-101</x:v>
      </x:c>
      <x:c r="B102" s="20" t="str">
        <x:v>NA</x:v>
      </x:c>
      <x:c r="C102" s="20" t="str">
        <x:v>Panitia</x:v>
      </x:c>
      <x:c r="D102" s="20" t="str">
        <x:v>PT Pupuk Iskandar Muda</x:v>
      </x:c>
      <x:c r="E102" s="20" t="str">
        <x:v>Rumah Komplek</x:v>
      </x:c>
      <x:c r="F102" s="20" t="str">
        <x:v>Mess Paroe 26</x:v>
      </x:c>
      <x:c r="G102" s="20" t="n">
        <x:v>1</x:v>
      </x:c>
      <x:c r="H102" s="20" t="str"/>
      <x:c r="I102" s="20" t="str">
        <x:v>Queen Bed</x:v>
      </x:c>
      <x:c r="J102" s="20" t="str">
        <x:v>Baik</x:v>
      </x:c>
      <x:c r="K102" s="20" t="str">
        <x:v>Ready</x:v>
      </x:c>
      <x:c r="L102" s="20" t="str">
        <x:v>Ready</x:v>
      </x:c>
      <x:c r="M102" s="20" t="str"/>
      <x:c r="N102" s="20" t="str"/>
      <x:c r="O102" s="20" t="str">
        <x:v>Occupied</x:v>
      </x:c>
      <x:c r="P102" s="20" t="str">
        <x:v>Ya</x:v>
      </x:c>
      <x:c r="Q102" s="20" t="str">
        <x:v>Accommodation_Arrangement_UPDATED.xlsx</x:v>
      </x:c>
    </x:row>
    <x:row r="103">
      <x:c r="A103" s="20" t="str">
        <x:v>ACC-R-102</x:v>
      </x:c>
      <x:c r="B103" s="20" t="str">
        <x:v>NA</x:v>
      </x:c>
      <x:c r="C103" s="20" t="str">
        <x:v>Panitia</x:v>
      </x:c>
      <x:c r="D103" s="20" t="str">
        <x:v>PT Pupuk Iskandar Muda</x:v>
      </x:c>
      <x:c r="E103" s="20" t="str">
        <x:v>Rumah Komplek</x:v>
      </x:c>
      <x:c r="F103" s="20" t="str">
        <x:v>Mess Paroe 26</x:v>
      </x:c>
      <x:c r="G103" s="20" t="n">
        <x:v>2</x:v>
      </x:c>
      <x:c r="H103" s="20" t="str"/>
      <x:c r="I103" s="20" t="str">
        <x:v>Twin Bed</x:v>
      </x:c>
      <x:c r="J103" s="20" t="str">
        <x:v>Baik</x:v>
      </x:c>
      <x:c r="K103" s="20" t="str">
        <x:v>Ready</x:v>
      </x:c>
      <x:c r="L103" s="20" t="str">
        <x:v>Ready</x:v>
      </x:c>
      <x:c r="M103" s="20" t="str"/>
      <x:c r="N103" s="20" t="str"/>
      <x:c r="O103" s="20" t="str">
        <x:v>Occupied</x:v>
      </x:c>
      <x:c r="P103" s="20" t="str">
        <x:v>Ya</x:v>
      </x:c>
      <x:c r="Q103" s="20" t="str">
        <x:v>Accommodation_Arrangement_UPDATED.xlsx</x:v>
      </x:c>
    </x:row>
    <x:row r="104">
      <x:c r="A104" s="20" t="str">
        <x:v>ACC-R-103</x:v>
      </x:c>
      <x:c r="B104" s="20" t="str">
        <x:v>NA</x:v>
      </x:c>
      <x:c r="C104" s="20" t="str">
        <x:v>Panitia</x:v>
      </x:c>
      <x:c r="D104" s="20" t="str">
        <x:v>PT Pupuk Iskandar Muda</x:v>
      </x:c>
      <x:c r="E104" s="20" t="str">
        <x:v>Rumah Komplek</x:v>
      </x:c>
      <x:c r="F104" s="20" t="str">
        <x:v>Mess Paroe 26</x:v>
      </x:c>
      <x:c r="G104" s="20" t="n">
        <x:v>3</x:v>
      </x:c>
      <x:c r="H104" s="20" t="str"/>
      <x:c r="I104" s="20" t="str">
        <x:v>Twin Bed</x:v>
      </x:c>
      <x:c r="J104" s="20" t="str">
        <x:v>Baik</x:v>
      </x:c>
      <x:c r="K104" s="20" t="str">
        <x:v>Ready</x:v>
      </x:c>
      <x:c r="L104" s="20" t="str">
        <x:v>Ready</x:v>
      </x:c>
      <x:c r="M104" s="20" t="str"/>
      <x:c r="N104" s="20" t="str"/>
      <x:c r="O104" s="20" t="str">
        <x:v>Occupied</x:v>
      </x:c>
      <x:c r="P104" s="20" t="str">
        <x:v>Ya</x:v>
      </x:c>
      <x:c r="Q104" s="20" t="str">
        <x:v>Accommodation_Arrangement_UPDATED.xlsx</x:v>
      </x:c>
    </x:row>
    <x:row r="105">
      <x:c r="A105" s="20" t="str">
        <x:v>ACC-R-104</x:v>
      </x:c>
      <x:c r="B105" s="20" t="str">
        <x:v>NA</x:v>
      </x:c>
      <x:c r="C105" s="20" t="str">
        <x:v>Sekretaris Perusahaan</x:v>
      </x:c>
      <x:c r="D105" s="20" t="str">
        <x:v>PT Pupuk Sriwidjaja Palembang</x:v>
      </x:c>
      <x:c r="E105" s="20" t="str">
        <x:v>Rumah Komplek</x:v>
      </x:c>
      <x:c r="F105" s="20" t="str">
        <x:v>Mess Gereudong 41</x:v>
      </x:c>
      <x:c r="G105" s="20" t="n">
        <x:v>1</x:v>
      </x:c>
      <x:c r="H105" s="20" t="str"/>
      <x:c r="I105" s="20" t="str">
        <x:v>Twin Bed</x:v>
      </x:c>
      <x:c r="J105" s="20" t="str">
        <x:v>Baik</x:v>
      </x:c>
      <x:c r="K105" s="20" t="str">
        <x:v>Ready</x:v>
      </x:c>
      <x:c r="L105" s="20" t="str">
        <x:v>Ready</x:v>
      </x:c>
      <x:c r="M105" s="20" t="str"/>
      <x:c r="N105" s="20" t="str"/>
      <x:c r="O105" s="20" t="str">
        <x:v>Occupied</x:v>
      </x:c>
      <x:c r="P105" s="20" t="str">
        <x:v>Ya</x:v>
      </x:c>
      <x:c r="Q105" s="20" t="str">
        <x:v>Accommodation_Arrangement_UPDATED.xlsx</x:v>
      </x:c>
    </x:row>
    <x:row r="106">
      <x:c r="A106" s="20" t="str">
        <x:v>ACC-R-105</x:v>
      </x:c>
      <x:c r="B106" s="20" t="str">
        <x:v>NA</x:v>
      </x:c>
      <x:c r="C106" s="20" t="str">
        <x:v>Staf SDU</x:v>
      </x:c>
      <x:c r="D106" s="20" t="str">
        <x:v>PT Pupuk Sriwidjaja Palembang</x:v>
      </x:c>
      <x:c r="E106" s="20" t="str">
        <x:v>Rumah Komplek</x:v>
      </x:c>
      <x:c r="F106" s="20" t="str">
        <x:v>Mess Gereudong 41</x:v>
      </x:c>
      <x:c r="G106" s="20" t="n">
        <x:v>2</x:v>
      </x:c>
      <x:c r="H106" s="20" t="str"/>
      <x:c r="I106" s="20" t="str">
        <x:v>Twin Bed</x:v>
      </x:c>
      <x:c r="J106" s="20" t="str">
        <x:v>Baik</x:v>
      </x:c>
      <x:c r="K106" s="20" t="str">
        <x:v>Ready</x:v>
      </x:c>
      <x:c r="L106" s="20" t="str">
        <x:v>Ready</x:v>
      </x:c>
      <x:c r="M106" s="20" t="str"/>
      <x:c r="N106" s="20" t="str"/>
      <x:c r="O106" s="20" t="str">
        <x:v>Occupied</x:v>
      </x:c>
      <x:c r="P106" s="20" t="str">
        <x:v>Ya</x:v>
      </x:c>
      <x:c r="Q106" s="20" t="str">
        <x:v>Accommodation_Arrangement_UPDATED.xlsx</x:v>
      </x:c>
    </x:row>
    <x:row r="107">
      <x:c r="A107" s="20" t="str">
        <x:v>ACC-R-106</x:v>
      </x:c>
      <x:c r="B107" s="20" t="str">
        <x:v>NA</x:v>
      </x:c>
      <x:c r="C107" s="20" t="str">
        <x:v>Staf SDU</x:v>
      </x:c>
      <x:c r="D107" s="20" t="str">
        <x:v>PT Pupuk Sriwidjaja Palembang</x:v>
      </x:c>
      <x:c r="E107" s="20" t="str">
        <x:v>Rumah Komplek</x:v>
      </x:c>
      <x:c r="F107" s="20" t="str">
        <x:v>Mess Gereudong 41</x:v>
      </x:c>
      <x:c r="G107" s="20" t="n">
        <x:v>3</x:v>
      </x:c>
      <x:c r="H107" s="20" t="str"/>
      <x:c r="I107" s="20" t="str">
        <x:v>Twin Bed</x:v>
      </x:c>
      <x:c r="J107" s="20" t="str">
        <x:v>Baik</x:v>
      </x:c>
      <x:c r="K107" s="20" t="str">
        <x:v>Ready</x:v>
      </x:c>
      <x:c r="L107" s="20" t="str">
        <x:v>Ready</x:v>
      </x:c>
      <x:c r="M107" s="20" t="str"/>
      <x:c r="N107" s="20" t="str"/>
      <x:c r="O107" s="20" t="str">
        <x:v>Occupied</x:v>
      </x:c>
      <x:c r="P107" s="20" t="str">
        <x:v>Ya</x:v>
      </x:c>
      <x:c r="Q107" s="20" t="str">
        <x:v>Accommodation_Arrangement_UPDATED.xlsx</x:v>
      </x:c>
    </x:row>
    <x:row r="108">
      <x:c r="A108" s="20" t="str">
        <x:v>ACC-R-107</x:v>
      </x:c>
      <x:c r="B108" s="20" t="str">
        <x:v>NA</x:v>
      </x:c>
      <x:c r="C108" s="20" t="str">
        <x:v>Sekretaris Perusahaan</x:v>
      </x:c>
      <x:c r="D108" s="20" t="str">
        <x:v>PT Pupuk Kujang Cikampek</x:v>
      </x:c>
      <x:c r="E108" s="20" t="str">
        <x:v>Rumah Komplek</x:v>
      </x:c>
      <x:c r="F108" s="20" t="str">
        <x:v>Mess Gereudong 43</x:v>
      </x:c>
      <x:c r="G108" s="20" t="n">
        <x:v>1</x:v>
      </x:c>
      <x:c r="H108" s="20" t="str"/>
      <x:c r="I108" s="20" t="str">
        <x:v>Queen Bed</x:v>
      </x:c>
      <x:c r="J108" s="20" t="str">
        <x:v>Baik</x:v>
      </x:c>
      <x:c r="K108" s="20" t="str">
        <x:v>Ready</x:v>
      </x:c>
      <x:c r="L108" s="20" t="str">
        <x:v>Ready</x:v>
      </x:c>
      <x:c r="M108" s="20" t="str"/>
      <x:c r="N108" s="20" t="str"/>
      <x:c r="O108" s="20" t="str">
        <x:v>Occupied</x:v>
      </x:c>
      <x:c r="P108" s="20" t="str">
        <x:v>Ya</x:v>
      </x:c>
      <x:c r="Q108" s="20" t="str">
        <x:v>Accommodation_Arrangement_UPDATED.xlsx</x:v>
      </x:c>
    </x:row>
    <x:row r="109">
      <x:c r="A109" s="20" t="str">
        <x:v>ACC-R-108</x:v>
      </x:c>
      <x:c r="B109" s="20" t="str">
        <x:v>NA</x:v>
      </x:c>
      <x:c r="C109" s="20" t="str">
        <x:v>Staf SDU</x:v>
      </x:c>
      <x:c r="D109" s="20" t="str">
        <x:v>PT Pupuk Kujang Cikampek</x:v>
      </x:c>
      <x:c r="E109" s="20" t="str">
        <x:v>Rumah Komplek</x:v>
      </x:c>
      <x:c r="F109" s="20" t="str">
        <x:v>Mess Gereudong 43</x:v>
      </x:c>
      <x:c r="G109" s="20" t="n">
        <x:v>2</x:v>
      </x:c>
      <x:c r="H109" s="20" t="str"/>
      <x:c r="I109" s="20" t="str">
        <x:v>Twin Bed</x:v>
      </x:c>
      <x:c r="J109" s="20" t="str">
        <x:v>Baik</x:v>
      </x:c>
      <x:c r="K109" s="20" t="str">
        <x:v>Ready</x:v>
      </x:c>
      <x:c r="L109" s="20" t="str">
        <x:v>Ready</x:v>
      </x:c>
      <x:c r="M109" s="20" t="str"/>
      <x:c r="N109" s="20" t="str"/>
      <x:c r="O109" s="20" t="str">
        <x:v>Occupied</x:v>
      </x:c>
      <x:c r="P109" s="20" t="str">
        <x:v>Ya</x:v>
      </x:c>
      <x:c r="Q109" s="20" t="str">
        <x:v>Accommodation_Arrangement_UPDATED.xlsx</x:v>
      </x:c>
    </x:row>
    <x:row r="110">
      <x:c r="A110" s="20" t="str">
        <x:v>ACC-R-109</x:v>
      </x:c>
      <x:c r="B110" s="20" t="str">
        <x:v>NA</x:v>
      </x:c>
      <x:c r="C110" s="20" t="str">
        <x:v>Staf SDU</x:v>
      </x:c>
      <x:c r="D110" s="20" t="str">
        <x:v>PT Pupuk Kujang Cikampek</x:v>
      </x:c>
      <x:c r="E110" s="20" t="str">
        <x:v>Rumah Komplek</x:v>
      </x:c>
      <x:c r="F110" s="20" t="str">
        <x:v>Mess Gereudong 43</x:v>
      </x:c>
      <x:c r="G110" s="20" t="n">
        <x:v>3</x:v>
      </x:c>
      <x:c r="H110" s="20" t="str"/>
      <x:c r="I110" s="20" t="str">
        <x:v>Twin Bed</x:v>
      </x:c>
      <x:c r="J110" s="20" t="str">
        <x:v>Baik</x:v>
      </x:c>
      <x:c r="K110" s="20" t="str">
        <x:v>Ready</x:v>
      </x:c>
      <x:c r="L110" s="20" t="str">
        <x:v>Ready</x:v>
      </x:c>
      <x:c r="M110" s="20" t="str"/>
      <x:c r="N110" s="20" t="str"/>
      <x:c r="O110" s="20" t="str">
        <x:v>Occupied</x:v>
      </x:c>
      <x:c r="P110" s="20" t="str">
        <x:v>Ya</x:v>
      </x:c>
      <x:c r="Q110" s="20" t="str">
        <x:v>Accommodation_Arrangement_UPDATED.xlsx</x:v>
      </x:c>
    </x:row>
    <x:row r="111">
      <x:c r="A111" s="20" t="str">
        <x:v>ACC-H-001</x:v>
      </x:c>
      <x:c r="B111" s="20" t="str">
        <x:v>free</x:v>
      </x:c>
      <x:c r="C111" s="20" t="str">
        <x:v>free</x:v>
      </x:c>
      <x:c r="D111" s="20" t="str">
        <x:v>free</x:v>
      </x:c>
      <x:c r="E111" s="20" t="str">
        <x:v>Hotel</x:v>
      </x:c>
      <x:c r="F111" s="20" t="str">
        <x:v>Hotel Diana</x:v>
      </x:c>
      <x:c r="G111" s="20" t="n">
        <x:v>1</x:v>
      </x:c>
      <x:c r="H111" s="20" t="str"/>
      <x:c r="I111" s="20" t="str">
        <x:v>Executive</x:v>
      </x:c>
      <x:c r="J111" s="20" t="str"/>
      <x:c r="K111" s="20" t="str"/>
      <x:c r="L111" s="20" t="str"/>
      <x:c r="M111" s="20" t="str"/>
      <x:c r="N111" s="20" t="str"/>
      <x:c r="O111" s="20" t="str">
        <x:v>Available</x:v>
      </x:c>
      <x:c r="P111" s="20" t="str">
        <x:v>Tidak</x:v>
      </x:c>
      <x:c r="Q111" s="20" t="str">
        <x:v>Accommodation_Arrangement_UPDATED.xlsx</x:v>
      </x:c>
    </x:row>
    <x:row r="112">
      <x:c r="A112" s="20" t="str">
        <x:v>ACC-H-002</x:v>
      </x:c>
      <x:c r="B112" s="20" t="str">
        <x:v>free</x:v>
      </x:c>
      <x:c r="C112" s="20" t="str">
        <x:v>free</x:v>
      </x:c>
      <x:c r="D112" s="20" t="str">
        <x:v>free</x:v>
      </x:c>
      <x:c r="E112" s="20" t="str">
        <x:v>Hotel</x:v>
      </x:c>
      <x:c r="F112" s="20" t="str">
        <x:v>Hotel Diana</x:v>
      </x:c>
      <x:c r="G112" s="20" t="n">
        <x:v>2</x:v>
      </x:c>
      <x:c r="H112" s="20" t="str"/>
      <x:c r="I112" s="20" t="str">
        <x:v>Executive</x:v>
      </x:c>
      <x:c r="J112" s="20" t="str"/>
      <x:c r="K112" s="20" t="str"/>
      <x:c r="L112" s="20" t="str"/>
      <x:c r="M112" s="20" t="str"/>
      <x:c r="N112" s="20" t="str"/>
      <x:c r="O112" s="20" t="str">
        <x:v>Available</x:v>
      </x:c>
      <x:c r="P112" s="20" t="str">
        <x:v>Tidak</x:v>
      </x:c>
      <x:c r="Q112" s="20" t="str">
        <x:v>Accommodation_Arrangement_UPDATED.xlsx</x:v>
      </x:c>
    </x:row>
    <x:row r="113">
      <x:c r="A113" s="20" t="str">
        <x:v>ACC-H-003</x:v>
      </x:c>
      <x:c r="B113" s="20" t="str">
        <x:v>free</x:v>
      </x:c>
      <x:c r="C113" s="20" t="str">
        <x:v>free</x:v>
      </x:c>
      <x:c r="D113" s="20" t="str">
        <x:v>free</x:v>
      </x:c>
      <x:c r="E113" s="20" t="str">
        <x:v>Hotel</x:v>
      </x:c>
      <x:c r="F113" s="20" t="str">
        <x:v>Hotel Diana</x:v>
      </x:c>
      <x:c r="G113" s="20" t="n">
        <x:v>1</x:v>
      </x:c>
      <x:c r="H113" s="20" t="str"/>
      <x:c r="I113" s="20" t="str">
        <x:v>Suite</x:v>
      </x:c>
      <x:c r="J113" s="20" t="str"/>
      <x:c r="K113" s="20" t="str"/>
      <x:c r="L113" s="20" t="str"/>
      <x:c r="M113" s="20" t="str"/>
      <x:c r="N113" s="20" t="str"/>
      <x:c r="O113" s="20" t="str">
        <x:v>Available</x:v>
      </x:c>
      <x:c r="P113" s="20" t="str">
        <x:v>Tidak</x:v>
      </x:c>
      <x:c r="Q113" s="20" t="str">
        <x:v>Accommodation_Arrangement_UPDATED.xlsx</x:v>
      </x:c>
    </x:row>
    <x:row r="114">
      <x:c r="A114" s="20" t="str">
        <x:v>ACC-H-004</x:v>
      </x:c>
      <x:c r="B114" s="20" t="str">
        <x:v>free</x:v>
      </x:c>
      <x:c r="C114" s="20" t="str">
        <x:v>free</x:v>
      </x:c>
      <x:c r="D114" s="20" t="str">
        <x:v>free</x:v>
      </x:c>
      <x:c r="E114" s="20" t="str">
        <x:v>Hotel</x:v>
      </x:c>
      <x:c r="F114" s="20" t="str">
        <x:v>Hotel Diana</x:v>
      </x:c>
      <x:c r="G114" s="20" t="n">
        <x:v>2</x:v>
      </x:c>
      <x:c r="H114" s="20" t="str"/>
      <x:c r="I114" s="20" t="str">
        <x:v>Suite</x:v>
      </x:c>
      <x:c r="J114" s="20" t="str"/>
      <x:c r="K114" s="20" t="str"/>
      <x:c r="L114" s="20" t="str"/>
      <x:c r="M114" s="20" t="str"/>
      <x:c r="N114" s="20" t="str"/>
      <x:c r="O114" s="20" t="str">
        <x:v>Available</x:v>
      </x:c>
      <x:c r="P114" s="20" t="str">
        <x:v>Tidak</x:v>
      </x:c>
      <x:c r="Q114" s="20" t="str">
        <x:v>Accommodation_Arrangement_UPDATED.xlsx</x:v>
      </x:c>
    </x:row>
    <x:row r="115">
      <x:c r="A115" s="20" t="str">
        <x:v>ACC-H-005</x:v>
      </x:c>
      <x:c r="B115" s="20" t="str">
        <x:v>free</x:v>
      </x:c>
      <x:c r="C115" s="20" t="str">
        <x:v>free</x:v>
      </x:c>
      <x:c r="D115" s="20" t="str">
        <x:v>free</x:v>
      </x:c>
      <x:c r="E115" s="20" t="str">
        <x:v>Hotel</x:v>
      </x:c>
      <x:c r="F115" s="20" t="str">
        <x:v>Hotel Diana</x:v>
      </x:c>
      <x:c r="G115" s="20" t="n">
        <x:v>3</x:v>
      </x:c>
      <x:c r="H115" s="20" t="str"/>
      <x:c r="I115" s="20" t="str">
        <x:v>Suite</x:v>
      </x:c>
      <x:c r="J115" s="20" t="str"/>
      <x:c r="K115" s="20" t="str"/>
      <x:c r="L115" s="20" t="str"/>
      <x:c r="M115" s="20" t="str"/>
      <x:c r="N115" s="20" t="str"/>
      <x:c r="O115" s="20" t="str">
        <x:v>Available</x:v>
      </x:c>
      <x:c r="P115" s="20" t="str">
        <x:v>Tidak</x:v>
      </x:c>
      <x:c r="Q115" s="20" t="str">
        <x:v>Accommodation_Arrangement_UPDATED.xlsx</x:v>
      </x:c>
    </x:row>
    <x:row r="116">
      <x:c r="A116" s="20" t="str">
        <x:v>ACC-H-006</x:v>
      </x:c>
      <x:c r="B116" s="20" t="str">
        <x:v>free</x:v>
      </x:c>
      <x:c r="C116" s="20" t="str">
        <x:v>free</x:v>
      </x:c>
      <x:c r="D116" s="20" t="str">
        <x:v>free</x:v>
      </x:c>
      <x:c r="E116" s="20" t="str">
        <x:v>Hotel</x:v>
      </x:c>
      <x:c r="F116" s="20" t="str">
        <x:v>Hotel Diana</x:v>
      </x:c>
      <x:c r="G116" s="20" t="n">
        <x:v>1</x:v>
      </x:c>
      <x:c r="H116" s="20" t="str"/>
      <x:c r="I116" s="20" t="str">
        <x:v>Deluxe</x:v>
      </x:c>
      <x:c r="J116" s="20" t="str"/>
      <x:c r="K116" s="20" t="str"/>
      <x:c r="L116" s="20" t="str"/>
      <x:c r="M116" s="20" t="str"/>
      <x:c r="N116" s="20" t="str"/>
      <x:c r="O116" s="20" t="str">
        <x:v>Available</x:v>
      </x:c>
      <x:c r="P116" s="20" t="str">
        <x:v>Tidak</x:v>
      </x:c>
      <x:c r="Q116" s="20" t="str">
        <x:v>Accommodation_Arrangement_UPDATED.xlsx</x:v>
      </x:c>
    </x:row>
    <x:row r="117">
      <x:c r="A117" s="20" t="str">
        <x:v>ACC-H-007</x:v>
      </x:c>
      <x:c r="B117" s="20" t="str">
        <x:v>free</x:v>
      </x:c>
      <x:c r="C117" s="20" t="str">
        <x:v>free</x:v>
      </x:c>
      <x:c r="D117" s="20" t="str">
        <x:v>free</x:v>
      </x:c>
      <x:c r="E117" s="20" t="str">
        <x:v>Hotel</x:v>
      </x:c>
      <x:c r="F117" s="20" t="str">
        <x:v>Hotel Diana</x:v>
      </x:c>
      <x:c r="G117" s="20" t="n">
        <x:v>2</x:v>
      </x:c>
      <x:c r="H117" s="20" t="str"/>
      <x:c r="I117" s="20" t="str">
        <x:v>Deluxe</x:v>
      </x:c>
      <x:c r="J117" s="20" t="str"/>
      <x:c r="K117" s="20" t="str"/>
      <x:c r="L117" s="20" t="str"/>
      <x:c r="M117" s="20" t="str"/>
      <x:c r="N117" s="20" t="str"/>
      <x:c r="O117" s="20" t="str">
        <x:v>Available</x:v>
      </x:c>
      <x:c r="P117" s="20" t="str">
        <x:v>Tidak</x:v>
      </x:c>
      <x:c r="Q117" s="20" t="str">
        <x:v>Accommodation_Arrangement_UPDATED.xlsx</x:v>
      </x:c>
    </x:row>
    <x:row r="118">
      <x:c r="A118" s="20" t="str">
        <x:v>ACC-H-008</x:v>
      </x:c>
      <x:c r="B118" s="20" t="str">
        <x:v>free</x:v>
      </x:c>
      <x:c r="C118" s="20" t="str">
        <x:v>free</x:v>
      </x:c>
      <x:c r="D118" s="20" t="str">
        <x:v>free</x:v>
      </x:c>
      <x:c r="E118" s="20" t="str">
        <x:v>Hotel</x:v>
      </x:c>
      <x:c r="F118" s="20" t="str">
        <x:v>Hotel Diana</x:v>
      </x:c>
      <x:c r="G118" s="20" t="n">
        <x:v>3</x:v>
      </x:c>
      <x:c r="H118" s="20" t="str"/>
      <x:c r="I118" s="20" t="str">
        <x:v>Deluxe</x:v>
      </x:c>
      <x:c r="J118" s="20" t="str"/>
      <x:c r="K118" s="20" t="str"/>
      <x:c r="L118" s="20" t="str"/>
      <x:c r="M118" s="20" t="str"/>
      <x:c r="N118" s="20" t="str"/>
      <x:c r="O118" s="20" t="str">
        <x:v>Available</x:v>
      </x:c>
      <x:c r="P118" s="20" t="str">
        <x:v>Tidak</x:v>
      </x:c>
      <x:c r="Q118" s="20" t="str">
        <x:v>Accommodation_Arrangement_UPDATED.xlsx</x:v>
      </x:c>
    </x:row>
    <x:row r="119">
      <x:c r="A119" s="20" t="str">
        <x:v>ACC-H-009</x:v>
      </x:c>
      <x:c r="B119" s="20" t="str">
        <x:v>free</x:v>
      </x:c>
      <x:c r="C119" s="20" t="str">
        <x:v>free</x:v>
      </x:c>
      <x:c r="D119" s="20" t="str">
        <x:v>free</x:v>
      </x:c>
      <x:c r="E119" s="20" t="str">
        <x:v>Hotel</x:v>
      </x:c>
      <x:c r="F119" s="20" t="str">
        <x:v>Hotel Diana</x:v>
      </x:c>
      <x:c r="G119" s="20" t="n">
        <x:v>4</x:v>
      </x:c>
      <x:c r="H119" s="20" t="str"/>
      <x:c r="I119" s="20" t="str">
        <x:v>Deluxe</x:v>
      </x:c>
      <x:c r="J119" s="20" t="str"/>
      <x:c r="K119" s="20" t="str"/>
      <x:c r="L119" s="20" t="str"/>
      <x:c r="M119" s="20" t="str"/>
      <x:c r="N119" s="20" t="str"/>
      <x:c r="O119" s="20" t="str">
        <x:v>Available</x:v>
      </x:c>
      <x:c r="P119" s="20" t="str">
        <x:v>Tidak</x:v>
      </x:c>
      <x:c r="Q119" s="20" t="str">
        <x:v>Accommodation_Arrangement_UPDATED.xlsx</x:v>
      </x:c>
    </x:row>
    <x:row r="120">
      <x:c r="A120" s="20" t="str">
        <x:v>ACC-H-010</x:v>
      </x:c>
      <x:c r="B120" s="20" t="str">
        <x:v>free</x:v>
      </x:c>
      <x:c r="C120" s="20" t="str">
        <x:v>free</x:v>
      </x:c>
      <x:c r="D120" s="20" t="str">
        <x:v>free</x:v>
      </x:c>
      <x:c r="E120" s="20" t="str">
        <x:v>Hotel</x:v>
      </x:c>
      <x:c r="F120" s="20" t="str">
        <x:v>Hotel Diana</x:v>
      </x:c>
      <x:c r="G120" s="20" t="n">
        <x:v>5</x:v>
      </x:c>
      <x:c r="H120" s="20" t="str"/>
      <x:c r="I120" s="20" t="str">
        <x:v>Deluxe</x:v>
      </x:c>
      <x:c r="J120" s="20" t="str"/>
      <x:c r="K120" s="20" t="str"/>
      <x:c r="L120" s="20" t="str"/>
      <x:c r="M120" s="20" t="str"/>
      <x:c r="N120" s="20" t="str"/>
      <x:c r="O120" s="20" t="str">
        <x:v>Available</x:v>
      </x:c>
      <x:c r="P120" s="20" t="str">
        <x:v>Tidak</x:v>
      </x:c>
      <x:c r="Q120" s="20" t="str">
        <x:v>Accommodation_Arrangement_UPDATED.xlsx</x:v>
      </x:c>
    </x:row>
    <x:row r="121">
      <x:c r="A121" s="20" t="str">
        <x:v>ACC-H-011</x:v>
      </x:c>
      <x:c r="B121" s="20" t="str">
        <x:v>free</x:v>
      </x:c>
      <x:c r="C121" s="20" t="str">
        <x:v>free</x:v>
      </x:c>
      <x:c r="D121" s="20" t="str">
        <x:v>free</x:v>
      </x:c>
      <x:c r="E121" s="20" t="str">
        <x:v>Hotel</x:v>
      </x:c>
      <x:c r="F121" s="20" t="str">
        <x:v>Hotel Diana</x:v>
      </x:c>
      <x:c r="G121" s="20" t="n">
        <x:v>6</x:v>
      </x:c>
      <x:c r="H121" s="20" t="str"/>
      <x:c r="I121" s="20" t="str">
        <x:v>Deluxe</x:v>
      </x:c>
      <x:c r="J121" s="20" t="str"/>
      <x:c r="K121" s="20" t="str"/>
      <x:c r="L121" s="20" t="str"/>
      <x:c r="M121" s="20" t="str"/>
      <x:c r="N121" s="20" t="str"/>
      <x:c r="O121" s="20" t="str">
        <x:v>Available</x:v>
      </x:c>
      <x:c r="P121" s="20" t="str">
        <x:v>Tidak</x:v>
      </x:c>
      <x:c r="Q121" s="20" t="str">
        <x:v>Accommodation_Arrangement_UPDATED.xlsx</x:v>
      </x:c>
    </x:row>
    <x:row r="122">
      <x:c r="A122" s="20" t="str">
        <x:v>ACC-H-012</x:v>
      </x:c>
      <x:c r="B122" s="20" t="str">
        <x:v>free</x:v>
      </x:c>
      <x:c r="C122" s="20" t="str">
        <x:v>free</x:v>
      </x:c>
      <x:c r="D122" s="20" t="str">
        <x:v>free</x:v>
      </x:c>
      <x:c r="E122" s="20" t="str">
        <x:v>Hotel</x:v>
      </x:c>
      <x:c r="F122" s="20" t="str">
        <x:v>Hotel Diana</x:v>
      </x:c>
      <x:c r="G122" s="20" t="n">
        <x:v>7</x:v>
      </x:c>
      <x:c r="H122" s="20" t="str"/>
      <x:c r="I122" s="20" t="str">
        <x:v>Deluxe</x:v>
      </x:c>
      <x:c r="J122" s="20" t="str"/>
      <x:c r="K122" s="20" t="str"/>
      <x:c r="L122" s="20" t="str"/>
      <x:c r="M122" s="20" t="str"/>
      <x:c r="N122" s="20" t="str"/>
      <x:c r="O122" s="20" t="str">
        <x:v>Available</x:v>
      </x:c>
      <x:c r="P122" s="20" t="str">
        <x:v>Tidak</x:v>
      </x:c>
      <x:c r="Q122" s="20" t="str">
        <x:v>Accommodation_Arrangement_UPDATED.xlsx</x:v>
      </x:c>
    </x:row>
    <x:row r="123">
      <x:c r="A123" s="20" t="str">
        <x:v>ACC-H-013</x:v>
      </x:c>
      <x:c r="B123" s="20" t="str">
        <x:v>free</x:v>
      </x:c>
      <x:c r="C123" s="20" t="str">
        <x:v>free</x:v>
      </x:c>
      <x:c r="D123" s="20" t="str">
        <x:v>free</x:v>
      </x:c>
      <x:c r="E123" s="20" t="str">
        <x:v>Hotel</x:v>
      </x:c>
      <x:c r="F123" s="20" t="str">
        <x:v>Hotel Diana</x:v>
      </x:c>
      <x:c r="G123" s="20" t="n">
        <x:v>8</x:v>
      </x:c>
      <x:c r="H123" s="20" t="str"/>
      <x:c r="I123" s="20" t="str">
        <x:v>Deluxe</x:v>
      </x:c>
      <x:c r="J123" s="20" t="str"/>
      <x:c r="K123" s="20" t="str"/>
      <x:c r="L123" s="20" t="str"/>
      <x:c r="M123" s="20" t="str"/>
      <x:c r="N123" s="20" t="str"/>
      <x:c r="O123" s="20" t="str">
        <x:v>Available</x:v>
      </x:c>
      <x:c r="P123" s="20" t="str">
        <x:v>Tidak</x:v>
      </x:c>
      <x:c r="Q123" s="20" t="str">
        <x:v>Accommodation_Arrangement_UPDATED.xlsx</x:v>
      </x:c>
    </x:row>
    <x:row r="124">
      <x:c r="A124" s="20" t="str">
        <x:v>ACC-H-014</x:v>
      </x:c>
      <x:c r="B124" s="20" t="str">
        <x:v>free</x:v>
      </x:c>
      <x:c r="C124" s="20" t="str">
        <x:v>free</x:v>
      </x:c>
      <x:c r="D124" s="20" t="str">
        <x:v>free</x:v>
      </x:c>
      <x:c r="E124" s="20" t="str">
        <x:v>Hotel</x:v>
      </x:c>
      <x:c r="F124" s="20" t="str">
        <x:v>Hotel Diana</x:v>
      </x:c>
      <x:c r="G124" s="20" t="n">
        <x:v>9</x:v>
      </x:c>
      <x:c r="H124" s="20" t="str"/>
      <x:c r="I124" s="20" t="str">
        <x:v>Deluxe</x:v>
      </x:c>
      <x:c r="J124" s="20" t="str"/>
      <x:c r="K124" s="20" t="str"/>
      <x:c r="L124" s="20" t="str"/>
      <x:c r="M124" s="20" t="str"/>
      <x:c r="N124" s="20" t="str"/>
      <x:c r="O124" s="20" t="str">
        <x:v>Available</x:v>
      </x:c>
      <x:c r="P124" s="20" t="str">
        <x:v>Tidak</x:v>
      </x:c>
      <x:c r="Q124" s="20" t="str">
        <x:v>Accommodation_Arrangement_UPDATED.xlsx</x:v>
      </x:c>
    </x:row>
    <x:row r="125">
      <x:c r="A125" s="20" t="str">
        <x:v>ACC-H-015</x:v>
      </x:c>
      <x:c r="B125" s="20" t="str">
        <x:v>free</x:v>
      </x:c>
      <x:c r="C125" s="20" t="str">
        <x:v>free</x:v>
      </x:c>
      <x:c r="D125" s="20" t="str">
        <x:v>free</x:v>
      </x:c>
      <x:c r="E125" s="20" t="str">
        <x:v>Hotel</x:v>
      </x:c>
      <x:c r="F125" s="20" t="str">
        <x:v>Hotel Diana</x:v>
      </x:c>
      <x:c r="G125" s="20" t="n">
        <x:v>10</x:v>
      </x:c>
      <x:c r="H125" s="20" t="str"/>
      <x:c r="I125" s="20" t="str">
        <x:v>Deluxe</x:v>
      </x:c>
      <x:c r="J125" s="20" t="str"/>
      <x:c r="K125" s="20" t="str"/>
      <x:c r="L125" s="20" t="str"/>
      <x:c r="M125" s="20" t="str"/>
      <x:c r="N125" s="20" t="str"/>
      <x:c r="O125" s="20" t="str">
        <x:v>Available</x:v>
      </x:c>
      <x:c r="P125" s="20" t="str">
        <x:v>Tidak</x:v>
      </x:c>
      <x:c r="Q125" s="20" t="str">
        <x:v>Accommodation_Arrangement_UPDATED.xlsx</x:v>
      </x:c>
    </x:row>
    <x:row r="126">
      <x:c r="A126" s="20" t="str">
        <x:v>ACC-H-016</x:v>
      </x:c>
      <x:c r="B126" s="20" t="str">
        <x:v>free</x:v>
      </x:c>
      <x:c r="C126" s="20" t="str">
        <x:v>free</x:v>
      </x:c>
      <x:c r="D126" s="20" t="str">
        <x:v>free</x:v>
      </x:c>
      <x:c r="E126" s="20" t="str">
        <x:v>Hotel</x:v>
      </x:c>
      <x:c r="F126" s="20" t="str">
        <x:v>Hotel Diana</x:v>
      </x:c>
      <x:c r="G126" s="20" t="n">
        <x:v>11</x:v>
      </x:c>
      <x:c r="H126" s="20" t="str"/>
      <x:c r="I126" s="20" t="str">
        <x:v>Deluxe</x:v>
      </x:c>
      <x:c r="J126" s="20" t="str"/>
      <x:c r="K126" s="20" t="str"/>
      <x:c r="L126" s="20" t="str"/>
      <x:c r="M126" s="20" t="str"/>
      <x:c r="N126" s="20" t="str"/>
      <x:c r="O126" s="20" t="str">
        <x:v>Available</x:v>
      </x:c>
      <x:c r="P126" s="20" t="str">
        <x:v>Tidak</x:v>
      </x:c>
      <x:c r="Q126" s="20" t="str">
        <x:v>Accommodation_Arrangement_UPDATED.xlsx</x:v>
      </x:c>
    </x:row>
    <x:row r="127">
      <x:c r="A127" s="20" t="str">
        <x:v>ACC-H-017</x:v>
      </x:c>
      <x:c r="B127" s="20" t="str">
        <x:v>free</x:v>
      </x:c>
      <x:c r="C127" s="20" t="str">
        <x:v>free</x:v>
      </x:c>
      <x:c r="D127" s="20" t="str">
        <x:v>free</x:v>
      </x:c>
      <x:c r="E127" s="20" t="str">
        <x:v>Hotel</x:v>
      </x:c>
      <x:c r="F127" s="20" t="str">
        <x:v>Hotel Diana</x:v>
      </x:c>
      <x:c r="G127" s="20" t="n">
        <x:v>12</x:v>
      </x:c>
      <x:c r="H127" s="20" t="str"/>
      <x:c r="I127" s="20" t="str">
        <x:v>Deluxe</x:v>
      </x:c>
      <x:c r="J127" s="20" t="str"/>
      <x:c r="K127" s="20" t="str"/>
      <x:c r="L127" s="20" t="str"/>
      <x:c r="M127" s="20" t="str"/>
      <x:c r="N127" s="20" t="str"/>
      <x:c r="O127" s="20" t="str">
        <x:v>Available</x:v>
      </x:c>
      <x:c r="P127" s="20" t="str">
        <x:v>Tidak</x:v>
      </x:c>
      <x:c r="Q127" s="20" t="str">
        <x:v>Accommodation_Arrangement_UPDATED.xlsx</x:v>
      </x:c>
    </x:row>
    <x:row r="128">
      <x:c r="A128" s="20" t="str">
        <x:v>ACC-H-018</x:v>
      </x:c>
      <x:c r="B128" s="20" t="str">
        <x:v>free</x:v>
      </x:c>
      <x:c r="C128" s="20" t="str">
        <x:v>free</x:v>
      </x:c>
      <x:c r="D128" s="20" t="str">
        <x:v>free</x:v>
      </x:c>
      <x:c r="E128" s="20" t="str">
        <x:v>Hotel</x:v>
      </x:c>
      <x:c r="F128" s="20" t="str">
        <x:v>Hotel Diana</x:v>
      </x:c>
      <x:c r="G128" s="20" t="n">
        <x:v>13</x:v>
      </x:c>
      <x:c r="H128" s="20" t="str"/>
      <x:c r="I128" s="20" t="str">
        <x:v>Deluxe</x:v>
      </x:c>
      <x:c r="J128" s="20" t="str"/>
      <x:c r="K128" s="20" t="str"/>
      <x:c r="L128" s="20" t="str"/>
      <x:c r="M128" s="20" t="str"/>
      <x:c r="N128" s="20" t="str"/>
      <x:c r="O128" s="20" t="str">
        <x:v>Available</x:v>
      </x:c>
      <x:c r="P128" s="20" t="str">
        <x:v>Tidak</x:v>
      </x:c>
      <x:c r="Q128" s="20" t="str">
        <x:v>Accommodation_Arrangement_UPDATED.xlsx</x:v>
      </x:c>
    </x:row>
    <x:row r="129">
      <x:c r="A129" s="20" t="str">
        <x:v>ACC-H-019</x:v>
      </x:c>
      <x:c r="B129" s="20" t="str">
        <x:v>free</x:v>
      </x:c>
      <x:c r="C129" s="20" t="str">
        <x:v>free</x:v>
      </x:c>
      <x:c r="D129" s="20" t="str">
        <x:v>free</x:v>
      </x:c>
      <x:c r="E129" s="20" t="str">
        <x:v>Hotel</x:v>
      </x:c>
      <x:c r="F129" s="20" t="str">
        <x:v>Hotel Diana</x:v>
      </x:c>
      <x:c r="G129" s="20" t="n">
        <x:v>14</x:v>
      </x:c>
      <x:c r="H129" s="20" t="str"/>
      <x:c r="I129" s="20" t="str">
        <x:v>Deluxe</x:v>
      </x:c>
      <x:c r="J129" s="20" t="str"/>
      <x:c r="K129" s="20" t="str"/>
      <x:c r="L129" s="20" t="str"/>
      <x:c r="M129" s="20" t="str"/>
      <x:c r="N129" s="20" t="str"/>
      <x:c r="O129" s="20" t="str">
        <x:v>Available</x:v>
      </x:c>
      <x:c r="P129" s="20" t="str">
        <x:v>Tidak</x:v>
      </x:c>
      <x:c r="Q129" s="20" t="str">
        <x:v>Accommodation_Arrangement_UPDATED.xlsx</x:v>
      </x:c>
    </x:row>
    <x:row r="130">
      <x:c r="A130" s="20" t="str">
        <x:v>ACC-H-020</x:v>
      </x:c>
      <x:c r="B130" s="20" t="str">
        <x:v>free</x:v>
      </x:c>
      <x:c r="C130" s="20" t="str">
        <x:v>free</x:v>
      </x:c>
      <x:c r="D130" s="20" t="str">
        <x:v>free</x:v>
      </x:c>
      <x:c r="E130" s="20" t="str">
        <x:v>Hotel</x:v>
      </x:c>
      <x:c r="F130" s="20" t="str">
        <x:v>Hotel Diana</x:v>
      </x:c>
      <x:c r="G130" s="20" t="n">
        <x:v>15</x:v>
      </x:c>
      <x:c r="H130" s="20" t="str"/>
      <x:c r="I130" s="20" t="str">
        <x:v>Deluxe</x:v>
      </x:c>
      <x:c r="J130" s="20" t="str"/>
      <x:c r="K130" s="20" t="str"/>
      <x:c r="L130" s="20" t="str"/>
      <x:c r="M130" s="20" t="str"/>
      <x:c r="N130" s="20" t="str"/>
      <x:c r="O130" s="20" t="str">
        <x:v>Available</x:v>
      </x:c>
      <x:c r="P130" s="20" t="str">
        <x:v>Tidak</x:v>
      </x:c>
      <x:c r="Q130" s="20" t="str">
        <x:v>Accommodation_Arrangement_UPDATED.xlsx</x:v>
      </x:c>
    </x:row>
    <x:row r="131">
      <x:c r="A131" s="20" t="str">
        <x:v>ACC-H-021</x:v>
      </x:c>
      <x:c r="B131" s="20" t="str">
        <x:v>free</x:v>
      </x:c>
      <x:c r="C131" s="20" t="str">
        <x:v>free</x:v>
      </x:c>
      <x:c r="D131" s="20" t="str">
        <x:v>free</x:v>
      </x:c>
      <x:c r="E131" s="20" t="str">
        <x:v>Hotel</x:v>
      </x:c>
      <x:c r="F131" s="20" t="str">
        <x:v>Hotel Diana</x:v>
      </x:c>
      <x:c r="G131" s="20" t="n">
        <x:v>16</x:v>
      </x:c>
      <x:c r="H131" s="20" t="str"/>
      <x:c r="I131" s="20" t="str">
        <x:v>Deluxe</x:v>
      </x:c>
      <x:c r="J131" s="20" t="str"/>
      <x:c r="K131" s="20" t="str"/>
      <x:c r="L131" s="20" t="str"/>
      <x:c r="M131" s="20" t="str"/>
      <x:c r="N131" s="20" t="str"/>
      <x:c r="O131" s="20" t="str">
        <x:v>Available</x:v>
      </x:c>
      <x:c r="P131" s="20" t="str">
        <x:v>Tidak</x:v>
      </x:c>
      <x:c r="Q131" s="20" t="str">
        <x:v>Accommodation_Arrangement_UPDATED.xlsx</x:v>
      </x:c>
    </x:row>
    <x:row r="132">
      <x:c r="A132" s="20" t="str">
        <x:v>ACC-H-022</x:v>
      </x:c>
      <x:c r="B132" s="20" t="str">
        <x:v>free</x:v>
      </x:c>
      <x:c r="C132" s="20" t="str">
        <x:v>free</x:v>
      </x:c>
      <x:c r="D132" s="20" t="str">
        <x:v>free</x:v>
      </x:c>
      <x:c r="E132" s="20" t="str">
        <x:v>Hotel</x:v>
      </x:c>
      <x:c r="F132" s="20" t="str">
        <x:v>Hotel Diana</x:v>
      </x:c>
      <x:c r="G132" s="20" t="n">
        <x:v>17</x:v>
      </x:c>
      <x:c r="H132" s="20" t="str"/>
      <x:c r="I132" s="20" t="str">
        <x:v>Deluxe</x:v>
      </x:c>
      <x:c r="J132" s="20" t="str"/>
      <x:c r="K132" s="20" t="str"/>
      <x:c r="L132" s="20" t="str"/>
      <x:c r="M132" s="20" t="str"/>
      <x:c r="N132" s="20" t="str"/>
      <x:c r="O132" s="20" t="str">
        <x:v>Available</x:v>
      </x:c>
      <x:c r="P132" s="20" t="str">
        <x:v>Tidak</x:v>
      </x:c>
      <x:c r="Q132" s="20" t="str">
        <x:v>Accommodation_Arrangement_UPDATED.xlsx</x:v>
      </x:c>
    </x:row>
    <x:row r="133">
      <x:c r="A133" s="20" t="str">
        <x:v>ACC-H-023</x:v>
      </x:c>
      <x:c r="B133" s="20" t="str">
        <x:v>free</x:v>
      </x:c>
      <x:c r="C133" s="20" t="str">
        <x:v>free</x:v>
      </x:c>
      <x:c r="D133" s="20" t="str">
        <x:v>free</x:v>
      </x:c>
      <x:c r="E133" s="20" t="str">
        <x:v>Hotel</x:v>
      </x:c>
      <x:c r="F133" s="20" t="str">
        <x:v>Hotel Diana</x:v>
      </x:c>
      <x:c r="G133" s="20" t="n">
        <x:v>18</x:v>
      </x:c>
      <x:c r="H133" s="20" t="str"/>
      <x:c r="I133" s="20" t="str">
        <x:v>Deluxe</x:v>
      </x:c>
      <x:c r="J133" s="20" t="str"/>
      <x:c r="K133" s="20" t="str"/>
      <x:c r="L133" s="20" t="str"/>
      <x:c r="M133" s="20" t="str"/>
      <x:c r="N133" s="20" t="str"/>
      <x:c r="O133" s="20" t="str">
        <x:v>Available</x:v>
      </x:c>
      <x:c r="P133" s="20" t="str">
        <x:v>Tidak</x:v>
      </x:c>
      <x:c r="Q133" s="20" t="str">
        <x:v>Accommodation_Arrangement_UPDATED.xlsx</x:v>
      </x:c>
    </x:row>
    <x:row r="134">
      <x:c r="A134" s="20" t="str">
        <x:v>ACC-H-024</x:v>
      </x:c>
      <x:c r="B134" s="20" t="str">
        <x:v>free</x:v>
      </x:c>
      <x:c r="C134" s="20" t="str">
        <x:v>free</x:v>
      </x:c>
      <x:c r="D134" s="20" t="str">
        <x:v>free</x:v>
      </x:c>
      <x:c r="E134" s="20" t="str">
        <x:v>Hotel</x:v>
      </x:c>
      <x:c r="F134" s="20" t="str">
        <x:v>Hotel Diana</x:v>
      </x:c>
      <x:c r="G134" s="20" t="n">
        <x:v>19</x:v>
      </x:c>
      <x:c r="H134" s="20" t="str"/>
      <x:c r="I134" s="20" t="str">
        <x:v>Deluxe</x:v>
      </x:c>
      <x:c r="J134" s="20" t="str"/>
      <x:c r="K134" s="20" t="str"/>
      <x:c r="L134" s="20" t="str"/>
      <x:c r="M134" s="20" t="str"/>
      <x:c r="N134" s="20" t="str"/>
      <x:c r="O134" s="20" t="str">
        <x:v>Available</x:v>
      </x:c>
      <x:c r="P134" s="20" t="str">
        <x:v>Tidak</x:v>
      </x:c>
      <x:c r="Q134" s="20" t="str">
        <x:v>Accommodation_Arrangement_UPDATED.xlsx</x:v>
      </x:c>
    </x:row>
    <x:row r="135">
      <x:c r="A135" s="20" t="str">
        <x:v>ACC-H-025</x:v>
      </x:c>
      <x:c r="B135" s="20" t="str">
        <x:v>free</x:v>
      </x:c>
      <x:c r="C135" s="20" t="str">
        <x:v>free</x:v>
      </x:c>
      <x:c r="D135" s="20" t="str">
        <x:v>free</x:v>
      </x:c>
      <x:c r="E135" s="20" t="str">
        <x:v>Hotel</x:v>
      </x:c>
      <x:c r="F135" s="20" t="str">
        <x:v>Hotel Diana</x:v>
      </x:c>
      <x:c r="G135" s="20" t="n">
        <x:v>20</x:v>
      </x:c>
      <x:c r="H135" s="20" t="str"/>
      <x:c r="I135" s="20" t="str">
        <x:v>Deluxe</x:v>
      </x:c>
      <x:c r="J135" s="20" t="str"/>
      <x:c r="K135" s="20" t="str"/>
      <x:c r="L135" s="20" t="str"/>
      <x:c r="M135" s="20" t="str"/>
      <x:c r="N135" s="20" t="str"/>
      <x:c r="O135" s="20" t="str">
        <x:v>Available</x:v>
      </x:c>
      <x:c r="P135" s="20" t="str">
        <x:v>Tidak</x:v>
      </x:c>
      <x:c r="Q135" s="20" t="str">
        <x:v>Accommodation_Arrangement_UPDATED.xlsx</x:v>
      </x:c>
    </x:row>
    <x:row r="136">
      <x:c r="A136" s="20" t="str">
        <x:v>ACC-H-026</x:v>
      </x:c>
      <x:c r="B136" s="20" t="str">
        <x:v>D Andhi Nirwanto</x:v>
      </x:c>
      <x:c r="C136" s="20" t="str">
        <x:v>Komisaris Utama</x:v>
      </x:c>
      <x:c r="D136" s="20" t="str">
        <x:v>PT Pupuk Kalimantan Timur</x:v>
      </x:c>
      <x:c r="E136" s="20" t="str">
        <x:v>Hotel</x:v>
      </x:c>
      <x:c r="F136" s="20" t="str">
        <x:v>Hotel Rajawali</x:v>
      </x:c>
      <x:c r="G136" s="20" t="n">
        <x:v>1</x:v>
      </x:c>
      <x:c r="H136" s="20" t="str"/>
      <x:c r="I136" s="20" t="str">
        <x:v>Superior</x:v>
      </x:c>
      <x:c r="J136" s="20" t="str"/>
      <x:c r="K136" s="20" t="str"/>
      <x:c r="L136" s="20" t="str"/>
      <x:c r="M136" s="20" t="str"/>
      <x:c r="N136" s="20" t="str"/>
      <x:c r="O136" s="20" t="str">
        <x:v>Occupied</x:v>
      </x:c>
      <x:c r="P136" s="20" t="str">
        <x:v>Ya</x:v>
      </x:c>
      <x:c r="Q136" s="20" t="str">
        <x:v>Accommodation_Arrangement_UPDATED.xlsx</x:v>
      </x:c>
    </x:row>
    <x:row r="137">
      <x:c r="A137" s="20" t="str">
        <x:v>ACC-H-027</x:v>
      </x:c>
      <x:c r="B137" s="20" t="str">
        <x:v>Suhardi Alius</x:v>
      </x:c>
      <x:c r="C137" s="20" t="str">
        <x:v>Komisaris Utama merangkap Komisaris Independen</x:v>
      </x:c>
      <x:c r="D137" s="20" t="str">
        <x:v>PT Petrokimia Gresik</x:v>
      </x:c>
      <x:c r="E137" s="20" t="str">
        <x:v>Hotel</x:v>
      </x:c>
      <x:c r="F137" s="20" t="str">
        <x:v>Hotel Rajawali</x:v>
      </x:c>
      <x:c r="G137" s="20" t="n">
        <x:v>2</x:v>
      </x:c>
      <x:c r="H137" s="20" t="str"/>
      <x:c r="I137" s="20" t="str">
        <x:v>Superior</x:v>
      </x:c>
      <x:c r="J137" s="20" t="str"/>
      <x:c r="K137" s="20" t="str"/>
      <x:c r="L137" s="20" t="str"/>
      <x:c r="M137" s="20" t="str"/>
      <x:c r="N137" s="20" t="str"/>
      <x:c r="O137" s="20" t="str">
        <x:v>Occupied</x:v>
      </x:c>
      <x:c r="P137" s="20" t="str">
        <x:v>Ya</x:v>
      </x:c>
      <x:c r="Q137" s="20" t="str">
        <x:v>Accommodation_Arrangement_UPDATED.xlsx</x:v>
      </x:c>
    </x:row>
    <x:row r="138">
      <x:c r="A138" s="20" t="str">
        <x:v>ACC-H-028</x:v>
      </x:c>
      <x:c r="B138" s="20" t="str">
        <x:v>Siti Nurizka Puteri Jaya</x:v>
      </x:c>
      <x:c r="C138" s="20" t="str">
        <x:v>Komisaris Utama</x:v>
      </x:c>
      <x:c r="D138" s="20" t="str">
        <x:v>PT Pupuk Sriwidjaja Palembang</x:v>
      </x:c>
      <x:c r="E138" s="20" t="str">
        <x:v>Hotel</x:v>
      </x:c>
      <x:c r="F138" s="20" t="str">
        <x:v>Hotel Rajawali</x:v>
      </x:c>
      <x:c r="G138" s="20" t="n">
        <x:v>3</x:v>
      </x:c>
      <x:c r="H138" s="20" t="str"/>
      <x:c r="I138" s="20" t="str">
        <x:v>Superior</x:v>
      </x:c>
      <x:c r="J138" s="20" t="str"/>
      <x:c r="K138" s="20" t="str"/>
      <x:c r="L138" s="20" t="str"/>
      <x:c r="M138" s="20" t="str"/>
      <x:c r="N138" s="20" t="str"/>
      <x:c r="O138" s="20" t="str">
        <x:v>Occupied</x:v>
      </x:c>
      <x:c r="P138" s="20" t="str">
        <x:v>Ya</x:v>
      </x:c>
      <x:c r="Q138" s="20" t="str">
        <x:v>Accommodation_Arrangement_UPDATED.xlsx</x:v>
      </x:c>
    </x:row>
    <x:row r="139">
      <x:c r="A139" s="20" t="str">
        <x:v>ACC-H-029</x:v>
      </x:c>
      <x:c r="B139" s="20" t="str">
        <x:v>Sripeni Inten Cahyani</x:v>
      </x:c>
      <x:c r="C139" s="20" t="str">
        <x:v>Komisaris Utama</x:v>
      </x:c>
      <x:c r="D139" s="20" t="str">
        <x:v>PT Pupuk Kujang Cikampek</x:v>
      </x:c>
      <x:c r="E139" s="20" t="str">
        <x:v>Hotel</x:v>
      </x:c>
      <x:c r="F139" s="20" t="str">
        <x:v>Hotel Rajawali</x:v>
      </x:c>
      <x:c r="G139" s="20" t="n">
        <x:v>4</x:v>
      </x:c>
      <x:c r="H139" s="20" t="str"/>
      <x:c r="I139" s="20" t="str">
        <x:v>Superior</x:v>
      </x:c>
      <x:c r="J139" s="20" t="str"/>
      <x:c r="K139" s="20" t="str"/>
      <x:c r="L139" s="20" t="str"/>
      <x:c r="M139" s="20" t="str"/>
      <x:c r="N139" s="20" t="str"/>
      <x:c r="O139" s="20" t="str">
        <x:v>Occupied</x:v>
      </x:c>
      <x:c r="P139" s="20" t="str">
        <x:v>Ya</x:v>
      </x:c>
      <x:c r="Q139" s="20" t="str">
        <x:v>Accommodation_Arrangement_UPDATED.xlsx</x:v>
      </x:c>
    </x:row>
    <x:row r="140">
      <x:c r="A140" s="20" t="str">
        <x:v>ACC-H-030</x:v>
      </x:c>
      <x:c r="B140" s="20" t="str">
        <x:v>Sandra Firmania</x:v>
      </x:c>
      <x:c r="C140" s="20" t="str">
        <x:v>Komisaris Utama</x:v>
      </x:c>
      <x:c r="D140" s="20" t="str">
        <x:v>PT Pupuk Indonesia Niaga</x:v>
      </x:c>
      <x:c r="E140" s="20" t="str">
        <x:v>Hotel</x:v>
      </x:c>
      <x:c r="F140" s="20" t="str">
        <x:v>Hotel Rajawali</x:v>
      </x:c>
      <x:c r="G140" s="20" t="n">
        <x:v>5</x:v>
      </x:c>
      <x:c r="H140" s="20" t="str"/>
      <x:c r="I140" s="20" t="str">
        <x:v>Superior</x:v>
      </x:c>
      <x:c r="J140" s="20" t="str"/>
      <x:c r="K140" s="20" t="str"/>
      <x:c r="L140" s="20" t="str"/>
      <x:c r="M140" s="20" t="str"/>
      <x:c r="N140" s="20" t="str"/>
      <x:c r="O140" s="20" t="str">
        <x:v>Occupied</x:v>
      </x:c>
      <x:c r="P140" s="20" t="str">
        <x:v>Ya</x:v>
      </x:c>
      <x:c r="Q140" s="20" t="str">
        <x:v>Accommodation_Arrangement_UPDATED.xlsx</x:v>
      </x:c>
    </x:row>
    <x:row r="141">
      <x:c r="A141" s="20" t="str">
        <x:v>ACC-H-031</x:v>
      </x:c>
      <x:c r="B141" s="20" t="str">
        <x:v>Azis Samual</x:v>
      </x:c>
      <x:c r="C141" s="20" t="str">
        <x:v>Komisaris</x:v>
      </x:c>
      <x:c r="D141" s="20" t="str">
        <x:v>PT Pupuk Kalimantan Timur</x:v>
      </x:c>
      <x:c r="E141" s="20" t="str">
        <x:v>Hotel</x:v>
      </x:c>
      <x:c r="F141" s="20" t="str">
        <x:v>Hotel Rajawali</x:v>
      </x:c>
      <x:c r="G141" s="20" t="n">
        <x:v>6</x:v>
      </x:c>
      <x:c r="H141" s="20" t="str"/>
      <x:c r="I141" s="20" t="str">
        <x:v>Superior</x:v>
      </x:c>
      <x:c r="J141" s="20" t="str"/>
      <x:c r="K141" s="20" t="str"/>
      <x:c r="L141" s="20" t="str"/>
      <x:c r="M141" s="20" t="str"/>
      <x:c r="N141" s="20" t="str"/>
      <x:c r="O141" s="20" t="str">
        <x:v>Occupied</x:v>
      </x:c>
      <x:c r="P141" s="20" t="str">
        <x:v>Ya</x:v>
      </x:c>
      <x:c r="Q141" s="20" t="str">
        <x:v>Accommodation_Arrangement_UPDATED.xlsx</x:v>
      </x:c>
    </x:row>
    <x:row r="142">
      <x:c r="A142" s="20" t="str">
        <x:v>ACC-H-032</x:v>
      </x:c>
      <x:c r="B142" s="20" t="str">
        <x:v>Sukardi Rinakit</x:v>
      </x:c>
      <x:c r="C142" s="20" t="str">
        <x:v>Komisaris Independen</x:v>
      </x:c>
      <x:c r="D142" s="20" t="str">
        <x:v>PT Pupuk Kalimantan Timur</x:v>
      </x:c>
      <x:c r="E142" s="20" t="str">
        <x:v>Hotel</x:v>
      </x:c>
      <x:c r="F142" s="20" t="str">
        <x:v>Hotel Rajawali</x:v>
      </x:c>
      <x:c r="G142" s="20" t="n">
        <x:v>7</x:v>
      </x:c>
      <x:c r="H142" s="20" t="str"/>
      <x:c r="I142" s="20" t="str">
        <x:v>Superior</x:v>
      </x:c>
      <x:c r="J142" s="20" t="str"/>
      <x:c r="K142" s="20" t="str"/>
      <x:c r="L142" s="20" t="str"/>
      <x:c r="M142" s="20" t="str"/>
      <x:c r="N142" s="20" t="str"/>
      <x:c r="O142" s="20" t="str">
        <x:v>Occupied</x:v>
      </x:c>
      <x:c r="P142" s="20" t="str">
        <x:v>Ya</x:v>
      </x:c>
      <x:c r="Q142" s="20" t="str">
        <x:v>Accommodation_Arrangement_UPDATED.xlsx</x:v>
      </x:c>
    </x:row>
    <x:row r="143">
      <x:c r="A143" s="20" t="str">
        <x:v>ACC-H-033</x:v>
      </x:c>
      <x:c r="B143" s="20" t="str">
        <x:v>Gustaaf A. C. Patty</x:v>
      </x:c>
      <x:c r="C143" s="20" t="str">
        <x:v>Komisaris Independen</x:v>
      </x:c>
      <x:c r="D143" s="20" t="str">
        <x:v>PT Pupuk Kalimantan Timur</x:v>
      </x:c>
      <x:c r="E143" s="20" t="str">
        <x:v>Hotel</x:v>
      </x:c>
      <x:c r="F143" s="20" t="str">
        <x:v>Hotel Rajawali</x:v>
      </x:c>
      <x:c r="G143" s="20" t="n">
        <x:v>8</x:v>
      </x:c>
      <x:c r="H143" s="20" t="str"/>
      <x:c r="I143" s="20" t="str">
        <x:v>Superior</x:v>
      </x:c>
      <x:c r="J143" s="20" t="str"/>
      <x:c r="K143" s="20" t="str"/>
      <x:c r="L143" s="20" t="str"/>
      <x:c r="M143" s="20" t="str"/>
      <x:c r="N143" s="20" t="str"/>
      <x:c r="O143" s="20" t="str">
        <x:v>Occupied</x:v>
      </x:c>
      <x:c r="P143" s="20" t="str">
        <x:v>Ya</x:v>
      </x:c>
      <x:c r="Q143" s="20" t="str">
        <x:v>Accommodation_Arrangement_UPDATED.xlsx</x:v>
      </x:c>
    </x:row>
    <x:row r="144">
      <x:c r="A144" s="20" t="str">
        <x:v>ACC-H-034</x:v>
      </x:c>
      <x:c r="B144" s="20" t="str">
        <x:v>Etha Rimba Paembonan</x:v>
      </x:c>
      <x:c r="C144" s="20" t="str">
        <x:v>Komisaris Independen</x:v>
      </x:c>
      <x:c r="D144" s="20" t="str">
        <x:v>PT Pupuk Kalimantan Timur</x:v>
      </x:c>
      <x:c r="E144" s="20" t="str">
        <x:v>Hotel</x:v>
      </x:c>
      <x:c r="F144" s="20" t="str">
        <x:v>Hotel Rajawali</x:v>
      </x:c>
      <x:c r="G144" s="20" t="n">
        <x:v>9</x:v>
      </x:c>
      <x:c r="H144" s="20" t="str"/>
      <x:c r="I144" s="20" t="str">
        <x:v>Superior</x:v>
      </x:c>
      <x:c r="J144" s="20" t="str"/>
      <x:c r="K144" s="20" t="str"/>
      <x:c r="L144" s="20" t="str"/>
      <x:c r="M144" s="20" t="str"/>
      <x:c r="N144" s="20" t="str"/>
      <x:c r="O144" s="20" t="str">
        <x:v>Occupied</x:v>
      </x:c>
      <x:c r="P144" s="20" t="str">
        <x:v>Ya</x:v>
      </x:c>
      <x:c r="Q144" s="20" t="str">
        <x:v>Accommodation_Arrangement_UPDATED.xlsx</x:v>
      </x:c>
    </x:row>
    <x:row r="145">
      <x:c r="A145" s="20" t="str">
        <x:v>ACC-H-035</x:v>
      </x:c>
      <x:c r="B145" s="20" t="str">
        <x:v>Musthofa</x:v>
      </x:c>
      <x:c r="C145" s="20" t="str">
        <x:v>Komisaris Independen</x:v>
      </x:c>
      <x:c r="D145" s="20" t="str">
        <x:v>PT Pupuk Kalimantan Timur</x:v>
      </x:c>
      <x:c r="E145" s="20" t="str">
        <x:v>Hotel</x:v>
      </x:c>
      <x:c r="F145" s="20" t="str">
        <x:v>Hotel Rajawali</x:v>
      </x:c>
      <x:c r="G145" s="20" t="n">
        <x:v>10</x:v>
      </x:c>
      <x:c r="H145" s="20" t="str"/>
      <x:c r="I145" s="20" t="str">
        <x:v>Superior</x:v>
      </x:c>
      <x:c r="J145" s="20" t="str"/>
      <x:c r="K145" s="20" t="str"/>
      <x:c r="L145" s="20" t="str"/>
      <x:c r="M145" s="20" t="str"/>
      <x:c r="N145" s="20" t="str"/>
      <x:c r="O145" s="20" t="str">
        <x:v>Occupied</x:v>
      </x:c>
      <x:c r="P145" s="20" t="str">
        <x:v>Ya</x:v>
      </x:c>
      <x:c r="Q145" s="20" t="str">
        <x:v>Accommodation_Arrangement_UPDATED.xlsx</x:v>
      </x:c>
    </x:row>
    <x:row r="146">
      <x:c r="A146" s="20" t="str">
        <x:v>ACC-H-036</x:v>
      </x:c>
      <x:c r="B146" s="20" t="str">
        <x:v>Viva Yoga Mauladi</x:v>
      </x:c>
      <x:c r="C146" s="20" t="str">
        <x:v>Komisaris</x:v>
      </x:c>
      <x:c r="D146" s="20" t="str">
        <x:v>PT Petrokimia Gresik</x:v>
      </x:c>
      <x:c r="E146" s="20" t="str">
        <x:v>Hotel</x:v>
      </x:c>
      <x:c r="F146" s="20" t="str">
        <x:v>Hotel Rajawali</x:v>
      </x:c>
      <x:c r="G146" s="20" t="n">
        <x:v>11</x:v>
      </x:c>
      <x:c r="H146" s="20" t="str"/>
      <x:c r="I146" s="20" t="str">
        <x:v>Superior</x:v>
      </x:c>
      <x:c r="J146" s="20" t="str"/>
      <x:c r="K146" s="20" t="str"/>
      <x:c r="L146" s="20" t="str"/>
      <x:c r="M146" s="20" t="str"/>
      <x:c r="N146" s="20" t="str"/>
      <x:c r="O146" s="20" t="str">
        <x:v>Occupied</x:v>
      </x:c>
      <x:c r="P146" s="20" t="str">
        <x:v>Ya</x:v>
      </x:c>
      <x:c r="Q146" s="20" t="str">
        <x:v>Accommodation_Arrangement_UPDATED.xlsx</x:v>
      </x:c>
    </x:row>
    <x:row r="147">
      <x:c r="A147" s="20" t="str">
        <x:v>ACC-H-037</x:v>
      </x:c>
      <x:c r="B147" s="20" t="str">
        <x:v>Andi Saiful Haq</x:v>
      </x:c>
      <x:c r="C147" s="20" t="str">
        <x:v>Komisaris</x:v>
      </x:c>
      <x:c r="D147" s="20" t="str">
        <x:v>PT Petrokimia Gresik</x:v>
      </x:c>
      <x:c r="E147" s="20" t="str">
        <x:v>Hotel</x:v>
      </x:c>
      <x:c r="F147" s="20" t="str">
        <x:v>Hotel Rajawali</x:v>
      </x:c>
      <x:c r="G147" s="20" t="n">
        <x:v>12</x:v>
      </x:c>
      <x:c r="H147" s="20" t="str"/>
      <x:c r="I147" s="20" t="str">
        <x:v>Superior</x:v>
      </x:c>
      <x:c r="J147" s="20" t="str"/>
      <x:c r="K147" s="20" t="str"/>
      <x:c r="L147" s="20" t="str"/>
      <x:c r="M147" s="20" t="str"/>
      <x:c r="N147" s="20" t="str"/>
      <x:c r="O147" s="20" t="str">
        <x:v>Occupied</x:v>
      </x:c>
      <x:c r="P147" s="20" t="str">
        <x:v>Ya</x:v>
      </x:c>
      <x:c r="Q147" s="20" t="str">
        <x:v>Accommodation_Arrangement_UPDATED.xlsx</x:v>
      </x:c>
    </x:row>
    <x:row r="148">
      <x:c r="A148" s="20" t="str">
        <x:v>ACC-H-038</x:v>
      </x:c>
      <x:c r="B148" s="20" t="str">
        <x:v>Luluk Nur Hamidah</x:v>
      </x:c>
      <x:c r="C148" s="20" t="str">
        <x:v>Komisaris Independen</x:v>
      </x:c>
      <x:c r="D148" s="20" t="str">
        <x:v>PT Petrokimia Gresik</x:v>
      </x:c>
      <x:c r="E148" s="20" t="str">
        <x:v>Hotel</x:v>
      </x:c>
      <x:c r="F148" s="20" t="str">
        <x:v>Hotel Rajawali</x:v>
      </x:c>
      <x:c r="G148" s="20" t="n">
        <x:v>13</x:v>
      </x:c>
      <x:c r="H148" s="20" t="str"/>
      <x:c r="I148" s="20" t="str">
        <x:v>Superior</x:v>
      </x:c>
      <x:c r="J148" s="20" t="str"/>
      <x:c r="K148" s="20" t="str"/>
      <x:c r="L148" s="20" t="str"/>
      <x:c r="M148" s="20" t="str"/>
      <x:c r="N148" s="20" t="str"/>
      <x:c r="O148" s="20" t="str">
        <x:v>Occupied</x:v>
      </x:c>
      <x:c r="P148" s="20" t="str">
        <x:v>Ya</x:v>
      </x:c>
      <x:c r="Q148" s="20" t="str">
        <x:v>Accommodation_Arrangement_UPDATED.xlsx</x:v>
      </x:c>
    </x:row>
    <x:row r="149">
      <x:c r="A149" s="20" t="str">
        <x:v>ACC-H-039</x:v>
      </x:c>
      <x:c r="B149" s="20" t="str">
        <x:v>Zaki Saleh Masyhur</x:v>
      </x:c>
      <x:c r="C149" s="20" t="str">
        <x:v>Komisaris Independen</x:v>
      </x:c>
      <x:c r="D149" s="20" t="str">
        <x:v>PT Petrokimia Gresik</x:v>
      </x:c>
      <x:c r="E149" s="20" t="str">
        <x:v>Hotel</x:v>
      </x:c>
      <x:c r="F149" s="20" t="str">
        <x:v>Hotel Rajawali</x:v>
      </x:c>
      <x:c r="G149" s="20" t="n">
        <x:v>14</x:v>
      </x:c>
      <x:c r="H149" s="20" t="str"/>
      <x:c r="I149" s="20" t="str">
        <x:v>Superior</x:v>
      </x:c>
      <x:c r="J149" s="20" t="str"/>
      <x:c r="K149" s="20" t="str"/>
      <x:c r="L149" s="20" t="str"/>
      <x:c r="M149" s="20" t="str"/>
      <x:c r="N149" s="20" t="str"/>
      <x:c r="O149" s="20" t="str">
        <x:v>Occupied</x:v>
      </x:c>
      <x:c r="P149" s="20" t="str">
        <x:v>Ya</x:v>
      </x:c>
      <x:c r="Q149" s="20" t="str">
        <x:v>Accommodation_Arrangement_UPDATED.xlsx</x:v>
      </x:c>
    </x:row>
    <x:row r="150">
      <x:c r="A150" s="20" t="str">
        <x:v>ACC-H-040</x:v>
      </x:c>
      <x:c r="B150" s="20" t="str">
        <x:v>Sally Salamah</x:v>
      </x:c>
      <x:c r="C150" s="20" t="str">
        <x:v>Komisaris</x:v>
      </x:c>
      <x:c r="D150" s="20" t="str">
        <x:v>PT Pupuk Sriwidjaja Palembang</x:v>
      </x:c>
      <x:c r="E150" s="20" t="str">
        <x:v>Hotel</x:v>
      </x:c>
      <x:c r="F150" s="20" t="str">
        <x:v>Hotel Rajawali</x:v>
      </x:c>
      <x:c r="G150" s="20" t="n">
        <x:v>15</x:v>
      </x:c>
      <x:c r="H150" s="20" t="str"/>
      <x:c r="I150" s="20" t="str">
        <x:v>Executive</x:v>
      </x:c>
      <x:c r="J150" s="20" t="str"/>
      <x:c r="K150" s="20" t="str"/>
      <x:c r="L150" s="20" t="str"/>
      <x:c r="M150" s="20" t="str"/>
      <x:c r="N150" s="20" t="str"/>
      <x:c r="O150" s="20" t="str">
        <x:v>Occupied</x:v>
      </x:c>
      <x:c r="P150" s="20" t="str">
        <x:v>Ya</x:v>
      </x:c>
      <x:c r="Q150" s="20" t="str">
        <x:v>Accommodation_Arrangement_UPDATED.xlsx</x:v>
      </x:c>
    </x:row>
    <x:row r="151">
      <x:c r="A151" s="20" t="str">
        <x:v>ACC-H-041</x:v>
      </x:c>
      <x:c r="B151" s="20" t="str">
        <x:v>Fadjar Judisiawan</x:v>
      </x:c>
      <x:c r="C151" s="20" t="str">
        <x:v>Komisaris</x:v>
      </x:c>
      <x:c r="D151" s="20" t="str">
        <x:v>PT Pupuk Sriwidjaja Palembang</x:v>
      </x:c>
      <x:c r="E151" s="20" t="str">
        <x:v>Hotel</x:v>
      </x:c>
      <x:c r="F151" s="20" t="str">
        <x:v>Hotel Rajawali</x:v>
      </x:c>
      <x:c r="G151" s="20" t="n">
        <x:v>16</x:v>
      </x:c>
      <x:c r="H151" s="20" t="str"/>
      <x:c r="I151" s="20" t="str">
        <x:v>Executive</x:v>
      </x:c>
      <x:c r="J151" s="20" t="str"/>
      <x:c r="K151" s="20" t="str"/>
      <x:c r="L151" s="20" t="str"/>
      <x:c r="M151" s="20" t="str"/>
      <x:c r="N151" s="20" t="str"/>
      <x:c r="O151" s="20" t="str">
        <x:v>Occupied</x:v>
      </x:c>
      <x:c r="P151" s="20" t="str">
        <x:v>Ya</x:v>
      </x:c>
      <x:c r="Q151" s="20" t="str">
        <x:v>Accommodation_Arrangement_UPDATED.xlsx</x:v>
      </x:c>
    </x:row>
    <x:row r="152">
      <x:c r="A152" s="20" t="str">
        <x:v>ACC-H-042</x:v>
      </x:c>
      <x:c r="B152" s="20" t="str">
        <x:v>Muhammad Syakir</x:v>
      </x:c>
      <x:c r="C152" s="20" t="str">
        <x:v>Komisaris</x:v>
      </x:c>
      <x:c r="D152" s="20" t="str">
        <x:v>PT Pupuk Sriwidjaja Palembang</x:v>
      </x:c>
      <x:c r="E152" s="20" t="str">
        <x:v>Hotel</x:v>
      </x:c>
      <x:c r="F152" s="20" t="str">
        <x:v>Hotel Rajawali</x:v>
      </x:c>
      <x:c r="G152" s="20" t="n">
        <x:v>17</x:v>
      </x:c>
      <x:c r="H152" s="20" t="str"/>
      <x:c r="I152" s="20" t="str">
        <x:v>Executive</x:v>
      </x:c>
      <x:c r="J152" s="20" t="str"/>
      <x:c r="K152" s="20" t="str"/>
      <x:c r="L152" s="20" t="str"/>
      <x:c r="M152" s="20" t="str"/>
      <x:c r="N152" s="20" t="str"/>
      <x:c r="O152" s="20" t="str">
        <x:v>Occupied</x:v>
      </x:c>
      <x:c r="P152" s="20" t="str">
        <x:v>Ya</x:v>
      </x:c>
      <x:c r="Q152" s="20" t="str">
        <x:v>Accommodation_Arrangement_UPDATED.xlsx</x:v>
      </x:c>
    </x:row>
    <x:row r="153">
      <x:c r="A153" s="20" t="str">
        <x:v>ACC-H-043</x:v>
      </x:c>
      <x:c r="B153" s="20" t="str">
        <x:v>Arteria Dahlan</x:v>
      </x:c>
      <x:c r="C153" s="20" t="str">
        <x:v>Komisaris</x:v>
      </x:c>
      <x:c r="D153" s="20" t="str">
        <x:v>PT Pupuk Sriwidjaja Palembang</x:v>
      </x:c>
      <x:c r="E153" s="20" t="str">
        <x:v>Hotel</x:v>
      </x:c>
      <x:c r="F153" s="20" t="str">
        <x:v>Hotel Rajawali</x:v>
      </x:c>
      <x:c r="G153" s="20" t="n">
        <x:v>18</x:v>
      </x:c>
      <x:c r="H153" s="20" t="str"/>
      <x:c r="I153" s="20" t="str">
        <x:v>Executive</x:v>
      </x:c>
      <x:c r="J153" s="20" t="str"/>
      <x:c r="K153" s="20" t="str"/>
      <x:c r="L153" s="20" t="str"/>
      <x:c r="M153" s="20" t="str"/>
      <x:c r="N153" s="20" t="str"/>
      <x:c r="O153" s="20" t="str">
        <x:v>Occupied</x:v>
      </x:c>
      <x:c r="P153" s="20" t="str">
        <x:v>Ya</x:v>
      </x:c>
      <x:c r="Q153" s="20" t="str">
        <x:v>Accommodation_Arrangement_UPDATED.xlsx</x:v>
      </x:c>
    </x:row>
    <x:row r="154">
      <x:c r="A154" s="20" t="str">
        <x:v>ACC-H-044</x:v>
      </x:c>
      <x:c r="B154" s="20" t="str">
        <x:v>Mohamad Idris Laena</x:v>
      </x:c>
      <x:c r="C154" s="20" t="str">
        <x:v>Komisaris Independen</x:v>
      </x:c>
      <x:c r="D154" s="20" t="str">
        <x:v>PT Pupuk Sriwidjaja Palembang</x:v>
      </x:c>
      <x:c r="E154" s="20" t="str">
        <x:v>Hotel</x:v>
      </x:c>
      <x:c r="F154" s="20" t="str">
        <x:v>Hotel Rajawali</x:v>
      </x:c>
      <x:c r="G154" s="20" t="n">
        <x:v>19</x:v>
      </x:c>
      <x:c r="H154" s="20" t="str"/>
      <x:c r="I154" s="20" t="str">
        <x:v>Executive</x:v>
      </x:c>
      <x:c r="J154" s="20" t="str"/>
      <x:c r="K154" s="20" t="str"/>
      <x:c r="L154" s="20" t="str"/>
      <x:c r="M154" s="20" t="str"/>
      <x:c r="N154" s="20" t="str"/>
      <x:c r="O154" s="20" t="str">
        <x:v>Occupied</x:v>
      </x:c>
      <x:c r="P154" s="20" t="str">
        <x:v>Ya</x:v>
      </x:c>
      <x:c r="Q154" s="20" t="str">
        <x:v>Accommodation_Arrangement_UPDATED.xlsx</x:v>
      </x:c>
    </x:row>
    <x:row r="155">
      <x:c r="A155" s="20" t="str">
        <x:v>ACC-H-045</x:v>
      </x:c>
      <x:c r="B155" s="20" t="str">
        <x:v>Teddy Gusnaidi</x:v>
      </x:c>
      <x:c r="C155" s="20" t="str">
        <x:v>Komisaris Independen</x:v>
      </x:c>
      <x:c r="D155" s="20" t="str">
        <x:v>PT Pupuk Sriwidjaja Palembang</x:v>
      </x:c>
      <x:c r="E155" s="20" t="str">
        <x:v>Hotel</x:v>
      </x:c>
      <x:c r="F155" s="20" t="str">
        <x:v>Hotel Rajawali</x:v>
      </x:c>
      <x:c r="G155" s="20" t="n">
        <x:v>20</x:v>
      </x:c>
      <x:c r="H155" s="20" t="str"/>
      <x:c r="I155" s="20" t="str">
        <x:v>Executive</x:v>
      </x:c>
      <x:c r="J155" s="20" t="str"/>
      <x:c r="K155" s="20" t="str"/>
      <x:c r="L155" s="20" t="str"/>
      <x:c r="M155" s="20" t="str"/>
      <x:c r="N155" s="20" t="str"/>
      <x:c r="O155" s="20" t="str">
        <x:v>Occupied</x:v>
      </x:c>
      <x:c r="P155" s="20" t="str">
        <x:v>Ya</x:v>
      </x:c>
      <x:c r="Q155" s="20" t="str">
        <x:v>Accommodation_Arrangement_UPDATED.xlsx</x:v>
      </x:c>
    </x:row>
    <x:row r="156">
      <x:c r="A156" s="20" t="str">
        <x:v>ACC-H-046</x:v>
      </x:c>
      <x:c r="B156" s="20" t="str">
        <x:v>Gati Wibawaningsih</x:v>
      </x:c>
      <x:c r="C156" s="20" t="str">
        <x:v>Komisaris</x:v>
      </x:c>
      <x:c r="D156" s="20" t="str">
        <x:v>PT Pupuk Kujang Cikampek</x:v>
      </x:c>
      <x:c r="E156" s="20" t="str">
        <x:v>Hotel</x:v>
      </x:c>
      <x:c r="F156" s="20" t="str">
        <x:v>Hotel Rajawali</x:v>
      </x:c>
      <x:c r="G156" s="20" t="n">
        <x:v>21</x:v>
      </x:c>
      <x:c r="H156" s="20" t="str"/>
      <x:c r="I156" s="20" t="str">
        <x:v>Executive</x:v>
      </x:c>
      <x:c r="J156" s="20" t="str"/>
      <x:c r="K156" s="20" t="str"/>
      <x:c r="L156" s="20" t="str"/>
      <x:c r="M156" s="20" t="str"/>
      <x:c r="N156" s="20" t="str"/>
      <x:c r="O156" s="20" t="str">
        <x:v>Occupied</x:v>
      </x:c>
      <x:c r="P156" s="20" t="str">
        <x:v>Ya</x:v>
      </x:c>
      <x:c r="Q156" s="20" t="str">
        <x:v>Accommodation_Arrangement_UPDATED.xlsx</x:v>
      </x:c>
    </x:row>
    <x:row r="157">
      <x:c r="A157" s="20" t="str">
        <x:v>ACC-H-047</x:v>
      </x:c>
      <x:c r="B157" s="20" t="str">
        <x:v>Rachman Ferry Isfianto</x:v>
      </x:c>
      <x:c r="C157" s="20" t="str">
        <x:v>Komisaris</x:v>
      </x:c>
      <x:c r="D157" s="20" t="str">
        <x:v>PT Pupuk Kujang Cikampek</x:v>
      </x:c>
      <x:c r="E157" s="20" t="str">
        <x:v>Hotel</x:v>
      </x:c>
      <x:c r="F157" s="20" t="str">
        <x:v>Hotel Rajawali</x:v>
      </x:c>
      <x:c r="G157" s="20" t="n">
        <x:v>22</x:v>
      </x:c>
      <x:c r="H157" s="20" t="str"/>
      <x:c r="I157" s="20" t="str">
        <x:v>Executive</x:v>
      </x:c>
      <x:c r="J157" s="20" t="str"/>
      <x:c r="K157" s="20" t="str"/>
      <x:c r="L157" s="20" t="str"/>
      <x:c r="M157" s="20" t="str"/>
      <x:c r="N157" s="20" t="str"/>
      <x:c r="O157" s="20" t="str">
        <x:v>Occupied</x:v>
      </x:c>
      <x:c r="P157" s="20" t="str">
        <x:v>Ya</x:v>
      </x:c>
      <x:c r="Q157" s="20" t="str">
        <x:v>Accommodation_Arrangement_UPDATED.xlsx</x:v>
      </x:c>
    </x:row>
    <x:row r="158">
      <x:c r="A158" s="20" t="str">
        <x:v>ACC-H-048</x:v>
      </x:c>
      <x:c r="B158" s="20" t="str">
        <x:v>Riad Oscha Chalik</x:v>
      </x:c>
      <x:c r="C158" s="20" t="str">
        <x:v>Komisaris Independen</x:v>
      </x:c>
      <x:c r="D158" s="20" t="str">
        <x:v>PT Pupuk Kujang Cikampek</x:v>
      </x:c>
      <x:c r="E158" s="20" t="str">
        <x:v>Hotel</x:v>
      </x:c>
      <x:c r="F158" s="20" t="str">
        <x:v>Hotel Rajawali</x:v>
      </x:c>
      <x:c r="G158" s="20" t="n">
        <x:v>23</x:v>
      </x:c>
      <x:c r="H158" s="20" t="str"/>
      <x:c r="I158" s="20" t="str">
        <x:v>Executive</x:v>
      </x:c>
      <x:c r="J158" s="20" t="str"/>
      <x:c r="K158" s="20" t="str"/>
      <x:c r="L158" s="20" t="str"/>
      <x:c r="M158" s="20" t="str"/>
      <x:c r="N158" s="20" t="str"/>
      <x:c r="O158" s="20" t="str">
        <x:v>Occupied</x:v>
      </x:c>
      <x:c r="P158" s="20" t="str">
        <x:v>Ya</x:v>
      </x:c>
      <x:c r="Q158" s="20" t="str">
        <x:v>Accommodation_Arrangement_UPDATED.xlsx</x:v>
      </x:c>
    </x:row>
    <x:row r="159">
      <x:c r="A159" s="20" t="str">
        <x:v>ACC-H-049</x:v>
      </x:c>
      <x:c r="B159" s="20" t="str">
        <x:v>Mahmud Nurwindu</x:v>
      </x:c>
      <x:c r="C159" s="20" t="str">
        <x:v>Komisaris Independen</x:v>
      </x:c>
      <x:c r="D159" s="20" t="str">
        <x:v>PT Pupuk Kujang Cikampek</x:v>
      </x:c>
      <x:c r="E159" s="20" t="str">
        <x:v>Hotel</x:v>
      </x:c>
      <x:c r="F159" s="20" t="str">
        <x:v>Hotel Rajawali</x:v>
      </x:c>
      <x:c r="G159" s="20" t="n">
        <x:v>24</x:v>
      </x:c>
      <x:c r="H159" s="20" t="str"/>
      <x:c r="I159" s="20" t="str">
        <x:v>Executive</x:v>
      </x:c>
      <x:c r="J159" s="20" t="str"/>
      <x:c r="K159" s="20" t="str"/>
      <x:c r="L159" s="20" t="str"/>
      <x:c r="M159" s="20" t="str"/>
      <x:c r="N159" s="20" t="str"/>
      <x:c r="O159" s="20" t="str">
        <x:v>Occupied</x:v>
      </x:c>
      <x:c r="P159" s="20" t="str">
        <x:v>Ya</x:v>
      </x:c>
      <x:c r="Q159" s="20" t="str">
        <x:v>Accommodation_Arrangement_UPDATED.xlsx</x:v>
      </x:c>
    </x:row>
    <x:row r="160">
      <x:c r="A160" s="20" t="str">
        <x:v>ACC-H-050</x:v>
      </x:c>
      <x:c r="B160" s="20" t="str">
        <x:v>free</x:v>
      </x:c>
      <x:c r="C160" s="20" t="str">
        <x:v>free</x:v>
      </x:c>
      <x:c r="D160" s="20" t="str">
        <x:v>free</x:v>
      </x:c>
      <x:c r="E160" s="20" t="str">
        <x:v>Hotel</x:v>
      </x:c>
      <x:c r="F160" s="20" t="str">
        <x:v>Hotel Rajawali</x:v>
      </x:c>
      <x:c r="G160" s="20" t="n">
        <x:v>25</x:v>
      </x:c>
      <x:c r="H160" s="20" t="str"/>
      <x:c r="I160" s="20" t="str">
        <x:v>Executive</x:v>
      </x:c>
      <x:c r="J160" s="20" t="str"/>
      <x:c r="K160" s="20" t="str"/>
      <x:c r="L160" s="20" t="str"/>
      <x:c r="M160" s="20" t="str"/>
      <x:c r="N160" s="20" t="str"/>
      <x:c r="O160" s="20" t="str">
        <x:v>Available</x:v>
      </x:c>
      <x:c r="P160" s="20" t="str">
        <x:v>Tidak</x:v>
      </x:c>
      <x:c r="Q160" s="20" t="str">
        <x:v>Accommodation_Arrangement_UPDATED.xlsx</x:v>
      </x:c>
    </x:row>
    <x:row r="161">
      <x:c r="A161" s="20" t="str">
        <x:v>ACC-H-051</x:v>
      </x:c>
      <x:c r="B161" s="20" t="str">
        <x:v>free</x:v>
      </x:c>
      <x:c r="C161" s="20" t="str">
        <x:v>free</x:v>
      </x:c>
      <x:c r="D161" s="20" t="str">
        <x:v>free</x:v>
      </x:c>
      <x:c r="E161" s="20" t="str">
        <x:v>Hotel</x:v>
      </x:c>
      <x:c r="F161" s="20" t="str">
        <x:v>Hotel Rajawali</x:v>
      </x:c>
      <x:c r="G161" s="20" t="n">
        <x:v>26</x:v>
      </x:c>
      <x:c r="H161" s="20" t="str"/>
      <x:c r="I161" s="20" t="str">
        <x:v>Executive</x:v>
      </x:c>
      <x:c r="J161" s="20" t="str"/>
      <x:c r="K161" s="20" t="str"/>
      <x:c r="L161" s="20" t="str"/>
      <x:c r="M161" s="20" t="str"/>
      <x:c r="N161" s="20" t="str"/>
      <x:c r="O161" s="20" t="str">
        <x:v>Available</x:v>
      </x:c>
      <x:c r="P161" s="20" t="str">
        <x:v>Tidak</x:v>
      </x:c>
      <x:c r="Q161" s="20" t="str">
        <x:v>Accommodation_Arrangement_UPDATED.xlsx</x:v>
      </x:c>
    </x:row>
    <x:row r="162">
      <x:c r="A162" s="20" t="str">
        <x:v>ACC-H-052</x:v>
      </x:c>
      <x:c r="B162" s="20" t="str">
        <x:v>free</x:v>
      </x:c>
      <x:c r="C162" s="20" t="str">
        <x:v>free</x:v>
      </x:c>
      <x:c r="D162" s="20" t="str">
        <x:v>free</x:v>
      </x:c>
      <x:c r="E162" s="20" t="str">
        <x:v>Hotel</x:v>
      </x:c>
      <x:c r="F162" s="20" t="str">
        <x:v>Hotel Rajawali</x:v>
      </x:c>
      <x:c r="G162" s="20" t="n">
        <x:v>27</x:v>
      </x:c>
      <x:c r="H162" s="20" t="str"/>
      <x:c r="I162" s="20" t="str">
        <x:v>Executive</x:v>
      </x:c>
      <x:c r="J162" s="20" t="str"/>
      <x:c r="K162" s="20" t="str"/>
      <x:c r="L162" s="20" t="str"/>
      <x:c r="M162" s="20" t="str"/>
      <x:c r="N162" s="20" t="str"/>
      <x:c r="O162" s="20" t="str">
        <x:v>Available</x:v>
      </x:c>
      <x:c r="P162" s="20" t="str">
        <x:v>Tidak</x:v>
      </x:c>
      <x:c r="Q162" s="20" t="str">
        <x:v>Accommodation_Arrangement_UPDATED.xlsx</x:v>
      </x:c>
    </x:row>
    <x:row r="163">
      <x:c r="A163" s="20" t="str">
        <x:v>ACC-H-053</x:v>
      </x:c>
      <x:c r="B163" s="20" t="str">
        <x:v>free</x:v>
      </x:c>
      <x:c r="C163" s="20" t="str">
        <x:v>free</x:v>
      </x:c>
      <x:c r="D163" s="20" t="str">
        <x:v>free</x:v>
      </x:c>
      <x:c r="E163" s="20" t="str">
        <x:v>Hotel</x:v>
      </x:c>
      <x:c r="F163" s="20" t="str">
        <x:v>Hotel Rajawali</x:v>
      </x:c>
      <x:c r="G163" s="20" t="n">
        <x:v>28</x:v>
      </x:c>
      <x:c r="H163" s="20" t="str"/>
      <x:c r="I163" s="20" t="str">
        <x:v>Executive</x:v>
      </x:c>
      <x:c r="J163" s="20" t="str"/>
      <x:c r="K163" s="20" t="str"/>
      <x:c r="L163" s="20" t="str"/>
      <x:c r="M163" s="20" t="str"/>
      <x:c r="N163" s="20" t="str"/>
      <x:c r="O163" s="20" t="str">
        <x:v>Available</x:v>
      </x:c>
      <x:c r="P163" s="20" t="str">
        <x:v>Tidak</x:v>
      </x:c>
      <x:c r="Q163" s="20" t="str">
        <x:v>Accommodation_Arrangement_UPDATED.xlsx</x:v>
      </x:c>
    </x:row>
    <x:row r="164">
      <x:c r="A164" s="20" t="str">
        <x:v>ACC-H-054</x:v>
      </x:c>
      <x:c r="B164" s="20" t="str">
        <x:v>free</x:v>
      </x:c>
      <x:c r="C164" s="20" t="str">
        <x:v>free</x:v>
      </x:c>
      <x:c r="D164" s="20" t="str">
        <x:v>free</x:v>
      </x:c>
      <x:c r="E164" s="20" t="str">
        <x:v>Hotel</x:v>
      </x:c>
      <x:c r="F164" s="20" t="str">
        <x:v>Hotel Rajawali</x:v>
      </x:c>
      <x:c r="G164" s="20" t="n">
        <x:v>29</x:v>
      </x:c>
      <x:c r="H164" s="20" t="str"/>
      <x:c r="I164" s="20" t="str">
        <x:v>Executive</x:v>
      </x:c>
      <x:c r="J164" s="20" t="str"/>
      <x:c r="K164" s="20" t="str"/>
      <x:c r="L164" s="20" t="str"/>
      <x:c r="M164" s="20" t="str"/>
      <x:c r="N164" s="20" t="str"/>
      <x:c r="O164" s="20" t="str">
        <x:v>Available</x:v>
      </x:c>
      <x:c r="P164" s="20" t="str">
        <x:v>Tidak</x:v>
      </x:c>
      <x:c r="Q164" s="20" t="str">
        <x:v>Accommodation_Arrangement_UPDATED.xlsx</x:v>
      </x:c>
    </x:row>
    <x:row r="165">
      <x:c r="A165" s="20" t="str">
        <x:v>ACC-H-055</x:v>
      </x:c>
      <x:c r="B165" s="20" t="str">
        <x:v>free</x:v>
      </x:c>
      <x:c r="C165" s="20" t="str">
        <x:v>free</x:v>
      </x:c>
      <x:c r="D165" s="20" t="str">
        <x:v>free</x:v>
      </x:c>
      <x:c r="E165" s="20" t="str">
        <x:v>Hotel</x:v>
      </x:c>
      <x:c r="F165" s="20" t="str">
        <x:v>Hotel Rajawali</x:v>
      </x:c>
      <x:c r="G165" s="20" t="n">
        <x:v>30</x:v>
      </x:c>
      <x:c r="H165" s="20" t="str"/>
      <x:c r="I165" s="20" t="str">
        <x:v>Executive</x:v>
      </x:c>
      <x:c r="J165" s="20" t="str"/>
      <x:c r="K165" s="20" t="str"/>
      <x:c r="L165" s="20" t="str"/>
      <x:c r="M165" s="20" t="str"/>
      <x:c r="N165" s="20" t="str"/>
      <x:c r="O165" s="20" t="str">
        <x:v>Available</x:v>
      </x:c>
      <x:c r="P165" s="20" t="str">
        <x:v>Tidak</x:v>
      </x:c>
      <x:c r="Q165" s="20" t="str">
        <x:v>Accommodation_Arrangement_UPDATED.xlsx</x:v>
      </x:c>
    </x:row>
    <x:row r="166">
      <x:c r="A166" s="20" t="str">
        <x:v>ACC-H-056</x:v>
      </x:c>
      <x:c r="B166" s="20" t="str">
        <x:v>Dody Widodo</x:v>
      </x:c>
      <x:c r="C166" s="20" t="str">
        <x:v>Komisaris Utama</x:v>
      </x:c>
      <x:c r="D166" s="20" t="str">
        <x:v>PT Rekayasa Industri</x:v>
      </x:c>
      <x:c r="E166" s="20" t="str">
        <x:v>Hotel</x:v>
      </x:c>
      <x:c r="F166" s="20" t="str">
        <x:v>Hotel Winton</x:v>
      </x:c>
      <x:c r="G166" s="20" t="n">
        <x:v>1</x:v>
      </x:c>
      <x:c r="H166" s="20" t="str"/>
      <x:c r="I166" s="20" t="str"/>
      <x:c r="J166" s="20" t="str"/>
      <x:c r="K166" s="20" t="str"/>
      <x:c r="L166" s="20" t="str"/>
      <x:c r="M166" s="20" t="str"/>
      <x:c r="N166" s="20" t="str"/>
      <x:c r="O166" s="20" t="str">
        <x:v>Occupied</x:v>
      </x:c>
      <x:c r="P166" s="20" t="str">
        <x:v>Ya</x:v>
      </x:c>
      <x:c r="Q166" s="20" t="str">
        <x:v>Accommodation_Arrangement_UPDATED.xlsx</x:v>
      </x:c>
    </x:row>
    <x:row r="167">
      <x:c r="A167" s="20" t="str">
        <x:v>ACC-H-057</x:v>
      </x:c>
      <x:c r="B167" s="20" t="str">
        <x:v>Rudi Rusli</x:v>
      </x:c>
      <x:c r="C167" s="20" t="str">
        <x:v>Komisaris Utama</x:v>
      </x:c>
      <x:c r="D167" s="20" t="str">
        <x:v>PT Pupuk Indonesia Logistik</x:v>
      </x:c>
      <x:c r="E167" s="20" t="str">
        <x:v>Hotel</x:v>
      </x:c>
      <x:c r="F167" s="20" t="str">
        <x:v>Hotel Winton</x:v>
      </x:c>
      <x:c r="G167" s="20" t="n">
        <x:v>2</x:v>
      </x:c>
      <x:c r="H167" s="20" t="str"/>
      <x:c r="I167" s="20" t="str"/>
      <x:c r="J167" s="20" t="str"/>
      <x:c r="K167" s="20" t="str"/>
      <x:c r="L167" s="20" t="str"/>
      <x:c r="M167" s="20" t="str"/>
      <x:c r="N167" s="20" t="str"/>
      <x:c r="O167" s="20" t="str">
        <x:v>Occupied</x:v>
      </x:c>
      <x:c r="P167" s="20" t="str">
        <x:v>Ya</x:v>
      </x:c>
      <x:c r="Q167" s="20" t="str">
        <x:v>Accommodation_Arrangement_UPDATED.xlsx</x:v>
      </x:c>
    </x:row>
    <x:row r="168">
      <x:c r="A168" s="20" t="str">
        <x:v>ACC-H-058</x:v>
      </x:c>
      <x:c r="B168" s="20" t="str">
        <x:v>Maret Samuel Sueken</x:v>
      </x:c>
      <x:c r="C168" s="20" t="str">
        <x:v>Komisaris Independen</x:v>
      </x:c>
      <x:c r="D168" s="20" t="str">
        <x:v>PT Rekayasa Industri</x:v>
      </x:c>
      <x:c r="E168" s="20" t="str">
        <x:v>Hotel</x:v>
      </x:c>
      <x:c r="F168" s="20" t="str">
        <x:v>Hotel Winton</x:v>
      </x:c>
      <x:c r="G168" s="20" t="n">
        <x:v>3</x:v>
      </x:c>
      <x:c r="H168" s="20" t="str"/>
      <x:c r="I168" s="20" t="str"/>
      <x:c r="J168" s="20" t="str"/>
      <x:c r="K168" s="20" t="str"/>
      <x:c r="L168" s="20" t="str"/>
      <x:c r="M168" s="20" t="str"/>
      <x:c r="N168" s="20" t="str"/>
      <x:c r="O168" s="20" t="str">
        <x:v>Occupied</x:v>
      </x:c>
      <x:c r="P168" s="20" t="str">
        <x:v>Ya</x:v>
      </x:c>
      <x:c r="Q168" s="20" t="str">
        <x:v>Accommodation_Arrangement_UPDATED.xlsx</x:v>
      </x:c>
    </x:row>
    <x:row r="169">
      <x:c r="A169" s="20" t="str">
        <x:v>ACC-H-059</x:v>
      </x:c>
      <x:c r="B169" s="20" t="str">
        <x:v>Aridayanto Kusumayuda</x:v>
      </x:c>
      <x:c r="C169" s="20" t="str">
        <x:v>Anggota Dewan Komisaris</x:v>
      </x:c>
      <x:c r="D169" s="20" t="str">
        <x:v>PT Pupuk Indonesia Logistik</x:v>
      </x:c>
      <x:c r="E169" s="20" t="str">
        <x:v>Hotel</x:v>
      </x:c>
      <x:c r="F169" s="20" t="str">
        <x:v>Hotel Winton</x:v>
      </x:c>
      <x:c r="G169" s="20" t="n">
        <x:v>4</x:v>
      </x:c>
      <x:c r="H169" s="20" t="str"/>
      <x:c r="I169" s="20" t="str"/>
      <x:c r="J169" s="20" t="str"/>
      <x:c r="K169" s="20" t="str"/>
      <x:c r="L169" s="20" t="str"/>
      <x:c r="M169" s="20" t="str"/>
      <x:c r="N169" s="20" t="str"/>
      <x:c r="O169" s="20" t="str">
        <x:v>Occupied</x:v>
      </x:c>
      <x:c r="P169" s="20" t="str">
        <x:v>Ya</x:v>
      </x:c>
      <x:c r="Q169" s="20" t="str">
        <x:v>Accommodation_Arrangement_UPDATED.xlsx</x:v>
      </x:c>
    </x:row>
    <x:row r="170">
      <x:c r="A170" s="20" t="str">
        <x:v>ACC-H-060</x:v>
      </x:c>
      <x:c r="B170" s="20" t="str">
        <x:v>Belum Dipublikasikan</x:v>
      </x:c>
      <x:c r="C170" s="20" t="str">
        <x:v>Dewan Komisaris</x:v>
      </x:c>
      <x:c r="D170" s="20" t="str">
        <x:v>PT Pupuk Indonesia Pangan</x:v>
      </x:c>
      <x:c r="E170" s="20" t="str">
        <x:v>Hotel</x:v>
      </x:c>
      <x:c r="F170" s="20" t="str">
        <x:v>Hotel Winton</x:v>
      </x:c>
      <x:c r="G170" s="20" t="n">
        <x:v>5</x:v>
      </x:c>
      <x:c r="H170" s="20" t="str"/>
      <x:c r="I170" s="20" t="str"/>
      <x:c r="J170" s="20" t="str"/>
      <x:c r="K170" s="20" t="str"/>
      <x:c r="L170" s="20" t="str"/>
      <x:c r="M170" s="20" t="str"/>
      <x:c r="N170" s="20" t="str"/>
      <x:c r="O170" s="20" t="str">
        <x:v>Occupied</x:v>
      </x:c>
      <x:c r="P170" s="20" t="str">
        <x:v>Ya</x:v>
      </x:c>
      <x:c r="Q170" s="20" t="str">
        <x:v>Accommodation_Arrangement_UPDATED.xlsx</x:v>
      </x:c>
    </x:row>
    <x:row r="171">
      <x:c r="A171" s="20" t="str">
        <x:v>ACC-H-061</x:v>
      </x:c>
      <x:c r="B171" s="20" t="str">
        <x:v>free</x:v>
      </x:c>
      <x:c r="C171" s="20" t="str">
        <x:v>free</x:v>
      </x:c>
      <x:c r="D171" s="20" t="str">
        <x:v>free</x:v>
      </x:c>
      <x:c r="E171" s="20" t="str">
        <x:v>Hotel</x:v>
      </x:c>
      <x:c r="F171" s="20" t="str">
        <x:v>Hotel Winton</x:v>
      </x:c>
      <x:c r="G171" s="20" t="n">
        <x:v>6</x:v>
      </x:c>
      <x:c r="H171" s="20" t="str"/>
      <x:c r="I171" s="20" t="str"/>
      <x:c r="J171" s="20" t="str"/>
      <x:c r="K171" s="20" t="str"/>
      <x:c r="L171" s="20" t="str"/>
      <x:c r="M171" s="20" t="str"/>
      <x:c r="N171" s="20" t="str"/>
      <x:c r="O171" s="20" t="str">
        <x:v>Available</x:v>
      </x:c>
      <x:c r="P171" s="20" t="str">
        <x:v>Tidak</x:v>
      </x:c>
      <x:c r="Q171" s="20" t="str">
        <x:v>Accommodation_Arrangement_UPDATED.xlsx</x:v>
      </x:c>
    </x:row>
    <x:row r="172">
      <x:c r="A172" s="20" t="str">
        <x:v>ACC-H-062</x:v>
      </x:c>
      <x:c r="B172" s="20" t="str">
        <x:v>free</x:v>
      </x:c>
      <x:c r="C172" s="20" t="str">
        <x:v>free</x:v>
      </x:c>
      <x:c r="D172" s="20" t="str">
        <x:v>free</x:v>
      </x:c>
      <x:c r="E172" s="20" t="str">
        <x:v>Hotel</x:v>
      </x:c>
      <x:c r="F172" s="20" t="str">
        <x:v>Hotel Winton</x:v>
      </x:c>
      <x:c r="G172" s="20" t="n">
        <x:v>7</x:v>
      </x:c>
      <x:c r="H172" s="20" t="str"/>
      <x:c r="I172" s="20" t="str"/>
      <x:c r="J172" s="20" t="str"/>
      <x:c r="K172" s="20" t="str"/>
      <x:c r="L172" s="20" t="str"/>
      <x:c r="M172" s="20" t="str"/>
      <x:c r="N172" s="20" t="str"/>
      <x:c r="O172" s="20" t="str">
        <x:v>Available</x:v>
      </x:c>
      <x:c r="P172" s="20" t="str">
        <x:v>Tidak</x:v>
      </x:c>
      <x:c r="Q172" s="20" t="str">
        <x:v>Accommodation_Arrangement_UPDATED.xlsx</x:v>
      </x:c>
    </x:row>
    <x:row r="173">
      <x:c r="A173" s="20" t="str">
        <x:v>ACC-H-063</x:v>
      </x:c>
      <x:c r="B173" s="20" t="str">
        <x:v>free</x:v>
      </x:c>
      <x:c r="C173" s="20" t="str">
        <x:v>free</x:v>
      </x:c>
      <x:c r="D173" s="20" t="str">
        <x:v>free</x:v>
      </x:c>
      <x:c r="E173" s="20" t="str">
        <x:v>Hotel</x:v>
      </x:c>
      <x:c r="F173" s="20" t="str">
        <x:v>Hotel Winton</x:v>
      </x:c>
      <x:c r="G173" s="20" t="n">
        <x:v>8</x:v>
      </x:c>
      <x:c r="H173" s="20" t="str"/>
      <x:c r="I173" s="20" t="str"/>
      <x:c r="J173" s="20" t="str"/>
      <x:c r="K173" s="20" t="str"/>
      <x:c r="L173" s="20" t="str"/>
      <x:c r="M173" s="20" t="str"/>
      <x:c r="N173" s="20" t="str"/>
      <x:c r="O173" s="20" t="str">
        <x:v>Available</x:v>
      </x:c>
      <x:c r="P173" s="20" t="str">
        <x:v>Tidak</x:v>
      </x:c>
      <x:c r="Q173" s="20" t="str">
        <x:v>Accommodation_Arrangement_UPDATED.xlsx</x:v>
      </x:c>
    </x:row>
    <x:row r="174">
      <x:c r="A174" s="20" t="str">
        <x:v>ACC-H-064</x:v>
      </x:c>
      <x:c r="B174" s="20" t="str">
        <x:v>free</x:v>
      </x:c>
      <x:c r="C174" s="20" t="str">
        <x:v>free</x:v>
      </x:c>
      <x:c r="D174" s="20" t="str">
        <x:v>free</x:v>
      </x:c>
      <x:c r="E174" s="20" t="str">
        <x:v>Hotel</x:v>
      </x:c>
      <x:c r="F174" s="20" t="str">
        <x:v>Hotel Winton</x:v>
      </x:c>
      <x:c r="G174" s="20" t="n">
        <x:v>9</x:v>
      </x:c>
      <x:c r="H174" s="20" t="str"/>
      <x:c r="I174" s="20" t="str"/>
      <x:c r="J174" s="20" t="str"/>
      <x:c r="K174" s="20" t="str"/>
      <x:c r="L174" s="20" t="str"/>
      <x:c r="M174" s="20" t="str"/>
      <x:c r="N174" s="20" t="str"/>
      <x:c r="O174" s="20" t="str">
        <x:v>Available</x:v>
      </x:c>
      <x:c r="P174" s="20" t="str">
        <x:v>Tidak</x:v>
      </x:c>
      <x:c r="Q174" s="20" t="str">
        <x:v>Accommodation_Arrangement_UPDATED.xlsx</x:v>
      </x:c>
    </x:row>
    <x:row r="175">
      <x:c r="A175" s="20" t="str">
        <x:v>ACC-H-065</x:v>
      </x:c>
      <x:c r="B175" s="20" t="str">
        <x:v>free</x:v>
      </x:c>
      <x:c r="C175" s="20" t="str">
        <x:v>free</x:v>
      </x:c>
      <x:c r="D175" s="20" t="str">
        <x:v>free</x:v>
      </x:c>
      <x:c r="E175" s="20" t="str">
        <x:v>Hotel</x:v>
      </x:c>
      <x:c r="F175" s="20" t="str">
        <x:v>Hotel Winton</x:v>
      </x:c>
      <x:c r="G175" s="20" t="n">
        <x:v>10</x:v>
      </x:c>
      <x:c r="H175" s="20" t="str"/>
      <x:c r="I175" s="20" t="str"/>
      <x:c r="J175" s="20" t="str"/>
      <x:c r="K175" s="20" t="str"/>
      <x:c r="L175" s="20" t="str"/>
      <x:c r="M175" s="20" t="str"/>
      <x:c r="N175" s="20" t="str"/>
      <x:c r="O175" s="20" t="str">
        <x:v>Available</x:v>
      </x:c>
      <x:c r="P175" s="20" t="str">
        <x:v>Tidak</x:v>
      </x:c>
      <x:c r="Q175" s="20" t="str">
        <x:v>Accommodation_Arrangement_UPDATED.xlsx</x:v>
      </x:c>
    </x:row>
    <x:row r="176">
      <x:c r="A176" s="20" t="str">
        <x:v>ACC-H-066</x:v>
      </x:c>
      <x:c r="B176" s="20" t="str">
        <x:v>free</x:v>
      </x:c>
      <x:c r="C176" s="20" t="str">
        <x:v>free</x:v>
      </x:c>
      <x:c r="D176" s="20" t="str">
        <x:v>free</x:v>
      </x:c>
      <x:c r="E176" s="20" t="str">
        <x:v>Hotel</x:v>
      </x:c>
      <x:c r="F176" s="20" t="str">
        <x:v>Hotel Winton</x:v>
      </x:c>
      <x:c r="G176" s="20" t="n">
        <x:v>11</x:v>
      </x:c>
      <x:c r="H176" s="20" t="str"/>
      <x:c r="I176" s="20" t="str"/>
      <x:c r="J176" s="20" t="str"/>
      <x:c r="K176" s="20" t="str"/>
      <x:c r="L176" s="20" t="str"/>
      <x:c r="M176" s="20" t="str"/>
      <x:c r="N176" s="20" t="str"/>
      <x:c r="O176" s="20" t="str">
        <x:v>Available</x:v>
      </x:c>
      <x:c r="P176" s="20" t="str">
        <x:v>Tidak</x:v>
      </x:c>
      <x:c r="Q176" s="20" t="str">
        <x:v>Accommodation_Arrangement_UPDATED.xlsx</x:v>
      </x:c>
    </x:row>
    <x:row r="177">
      <x:c r="A177" s="20" t="str">
        <x:v>ACC-H-067</x:v>
      </x:c>
      <x:c r="B177" s="20" t="str">
        <x:v>free</x:v>
      </x:c>
      <x:c r="C177" s="20" t="str">
        <x:v>free</x:v>
      </x:c>
      <x:c r="D177" s="20" t="str">
        <x:v>free</x:v>
      </x:c>
      <x:c r="E177" s="20" t="str">
        <x:v>Hotel</x:v>
      </x:c>
      <x:c r="F177" s="20" t="str">
        <x:v>Hotel Winton</x:v>
      </x:c>
      <x:c r="G177" s="20" t="n">
        <x:v>12</x:v>
      </x:c>
      <x:c r="H177" s="20" t="str"/>
      <x:c r="I177" s="20" t="str"/>
      <x:c r="J177" s="20" t="str"/>
      <x:c r="K177" s="20" t="str"/>
      <x:c r="L177" s="20" t="str"/>
      <x:c r="M177" s="20" t="str"/>
      <x:c r="N177" s="20" t="str"/>
      <x:c r="O177" s="20" t="str">
        <x:v>Available</x:v>
      </x:c>
      <x:c r="P177" s="20" t="str">
        <x:v>Tidak</x:v>
      </x:c>
      <x:c r="Q177" s="20" t="str">
        <x:v>Accommodation_Arrangement_UPDATED.xlsx</x:v>
      </x:c>
    </x:row>
    <x:row r="178">
      <x:c r="A178" s="20" t="str">
        <x:v>ACC-H-068</x:v>
      </x:c>
      <x:c r="B178" s="20" t="str">
        <x:v>free</x:v>
      </x:c>
      <x:c r="C178" s="20" t="str">
        <x:v>free</x:v>
      </x:c>
      <x:c r="D178" s="20" t="str">
        <x:v>free</x:v>
      </x:c>
      <x:c r="E178" s="20" t="str">
        <x:v>Hotel</x:v>
      </x:c>
      <x:c r="F178" s="20" t="str">
        <x:v>Hotel Winton</x:v>
      </x:c>
      <x:c r="G178" s="20" t="n">
        <x:v>13</x:v>
      </x:c>
      <x:c r="H178" s="20" t="str"/>
      <x:c r="I178" s="20" t="str"/>
      <x:c r="J178" s="20" t="str"/>
      <x:c r="K178" s="20" t="str"/>
      <x:c r="L178" s="20" t="str"/>
      <x:c r="M178" s="20" t="str"/>
      <x:c r="N178" s="20" t="str"/>
      <x:c r="O178" s="20" t="str">
        <x:v>Available</x:v>
      </x:c>
      <x:c r="P178" s="20" t="str">
        <x:v>Tidak</x:v>
      </x:c>
      <x:c r="Q178" s="20" t="str">
        <x:v>Accommodation_Arrangement_UPDATED.xlsx</x:v>
      </x:c>
    </x:row>
    <x:row r="179">
      <x:c r="A179" s="20" t="str">
        <x:v>ACC-H-069</x:v>
      </x:c>
      <x:c r="B179" s="20" t="str">
        <x:v>free</x:v>
      </x:c>
      <x:c r="C179" s="20" t="str">
        <x:v>free</x:v>
      </x:c>
      <x:c r="D179" s="20" t="str">
        <x:v>free</x:v>
      </x:c>
      <x:c r="E179" s="20" t="str">
        <x:v>Hotel</x:v>
      </x:c>
      <x:c r="F179" s="20" t="str">
        <x:v>Hotel Winton</x:v>
      </x:c>
      <x:c r="G179" s="20" t="n">
        <x:v>14</x:v>
      </x:c>
      <x:c r="H179" s="20" t="str"/>
      <x:c r="I179" s="20" t="str"/>
      <x:c r="J179" s="20" t="str"/>
      <x:c r="K179" s="20" t="str"/>
      <x:c r="L179" s="20" t="str"/>
      <x:c r="M179" s="20" t="str"/>
      <x:c r="N179" s="20" t="str"/>
      <x:c r="O179" s="20" t="str">
        <x:v>Available</x:v>
      </x:c>
      <x:c r="P179" s="20" t="str">
        <x:v>Tidak</x:v>
      </x:c>
      <x:c r="Q179" s="20" t="str">
        <x:v>Accommodation_Arrangement_UPDATED.xlsx</x:v>
      </x:c>
    </x:row>
    <x:row r="180">
      <x:c r="A180" s="20" t="str">
        <x:v>ACC-H-070</x:v>
      </x:c>
      <x:c r="B180" s="20" t="str">
        <x:v>free</x:v>
      </x:c>
      <x:c r="C180" s="20" t="str">
        <x:v>free</x:v>
      </x:c>
      <x:c r="D180" s="20" t="str">
        <x:v>free</x:v>
      </x:c>
      <x:c r="E180" s="20" t="str">
        <x:v>Hotel</x:v>
      </x:c>
      <x:c r="F180" s="20" t="str">
        <x:v>Hotel Winton</x:v>
      </x:c>
      <x:c r="G180" s="20" t="n">
        <x:v>15</x:v>
      </x:c>
      <x:c r="H180" s="20" t="str"/>
      <x:c r="I180" s="20" t="str"/>
      <x:c r="J180" s="20" t="str"/>
      <x:c r="K180" s="20" t="str"/>
      <x:c r="L180" s="20" t="str"/>
      <x:c r="M180" s="20" t="str"/>
      <x:c r="N180" s="20" t="str"/>
      <x:c r="O180" s="20" t="str">
        <x:v>Available</x:v>
      </x:c>
      <x:c r="P180" s="20" t="str">
        <x:v>Tidak</x:v>
      </x:c>
      <x:c r="Q180" s="20" t="str">
        <x:v>Accommodation_Arrangement_UPDATED.xlsx</x:v>
      </x:c>
    </x:row>
    <x:row r="181">
      <x:c r="A181" s="20" t="str">
        <x:v>ACC-H-071</x:v>
      </x:c>
      <x:c r="B181" s="20" t="str">
        <x:v>free</x:v>
      </x:c>
      <x:c r="C181" s="20" t="str">
        <x:v>free</x:v>
      </x:c>
      <x:c r="D181" s="20" t="str">
        <x:v>free</x:v>
      </x:c>
      <x:c r="E181" s="20" t="str">
        <x:v>Hotel</x:v>
      </x:c>
      <x:c r="F181" s="20" t="str">
        <x:v>Hotel Winton</x:v>
      </x:c>
      <x:c r="G181" s="20" t="n">
        <x:v>16</x:v>
      </x:c>
      <x:c r="H181" s="20" t="str"/>
      <x:c r="I181" s="20" t="str"/>
      <x:c r="J181" s="20" t="str"/>
      <x:c r="K181" s="20" t="str"/>
      <x:c r="L181" s="20" t="str"/>
      <x:c r="M181" s="20" t="str"/>
      <x:c r="N181" s="20" t="str"/>
      <x:c r="O181" s="20" t="str">
        <x:v>Available</x:v>
      </x:c>
      <x:c r="P181" s="20" t="str">
        <x:v>Tidak</x:v>
      </x:c>
      <x:c r="Q181" s="20" t="str">
        <x:v>Accommodation_Arrangement_UPDATED.xlsx</x:v>
      </x:c>
    </x:row>
    <x:row r="182">
      <x:c r="A182" s="20" t="str">
        <x:v>ACC-H-072</x:v>
      </x:c>
      <x:c r="B182" s="20" t="str">
        <x:v>free</x:v>
      </x:c>
      <x:c r="C182" s="20" t="str">
        <x:v>free</x:v>
      </x:c>
      <x:c r="D182" s="20" t="str">
        <x:v>free</x:v>
      </x:c>
      <x:c r="E182" s="20" t="str">
        <x:v>Hotel</x:v>
      </x:c>
      <x:c r="F182" s="20" t="str">
        <x:v>Hotel Winton</x:v>
      </x:c>
      <x:c r="G182" s="20" t="n">
        <x:v>17</x:v>
      </x:c>
      <x:c r="H182" s="20" t="str"/>
      <x:c r="I182" s="20" t="str"/>
      <x:c r="J182" s="20" t="str"/>
      <x:c r="K182" s="20" t="str"/>
      <x:c r="L182" s="20" t="str"/>
      <x:c r="M182" s="20" t="str"/>
      <x:c r="N182" s="20" t="str"/>
      <x:c r="O182" s="20" t="str">
        <x:v>Available</x:v>
      </x:c>
      <x:c r="P182" s="20" t="str">
        <x:v>Tidak</x:v>
      </x:c>
      <x:c r="Q182" s="20" t="str">
        <x:v>Accommodation_Arrangement_UPDATED.xlsx</x:v>
      </x:c>
    </x:row>
    <x:row r="183">
      <x:c r="A183" s="20" t="str">
        <x:v>ACC-H-073</x:v>
      </x:c>
      <x:c r="B183" s="20" t="str">
        <x:v>free</x:v>
      </x:c>
      <x:c r="C183" s="20" t="str">
        <x:v>free</x:v>
      </x:c>
      <x:c r="D183" s="20" t="str">
        <x:v>free</x:v>
      </x:c>
      <x:c r="E183" s="20" t="str">
        <x:v>Hotel</x:v>
      </x:c>
      <x:c r="F183" s="20" t="str">
        <x:v>Hotel Winton</x:v>
      </x:c>
      <x:c r="G183" s="20" t="n">
        <x:v>18</x:v>
      </x:c>
      <x:c r="H183" s="20" t="str"/>
      <x:c r="I183" s="20" t="str"/>
      <x:c r="J183" s="20" t="str"/>
      <x:c r="K183" s="20" t="str"/>
      <x:c r="L183" s="20" t="str"/>
      <x:c r="M183" s="20" t="str"/>
      <x:c r="N183" s="20" t="str"/>
      <x:c r="O183" s="20" t="str">
        <x:v>Available</x:v>
      </x:c>
      <x:c r="P183" s="20" t="str">
        <x:v>Tidak</x:v>
      </x:c>
      <x:c r="Q183" s="20" t="str">
        <x:v>Accommodation_Arrangement_UPDATED.xlsx</x:v>
      </x:c>
    </x:row>
    <x:row r="184">
      <x:c r="A184" s="20" t="str">
        <x:v>ACC-H-074</x:v>
      </x:c>
      <x:c r="B184" s="20" t="str">
        <x:v>free</x:v>
      </x:c>
      <x:c r="C184" s="20" t="str">
        <x:v>free</x:v>
      </x:c>
      <x:c r="D184" s="20" t="str">
        <x:v>free</x:v>
      </x:c>
      <x:c r="E184" s="20" t="str">
        <x:v>Hotel</x:v>
      </x:c>
      <x:c r="F184" s="20" t="str">
        <x:v>Hotel Winton</x:v>
      </x:c>
      <x:c r="G184" s="20" t="n">
        <x:v>19</x:v>
      </x:c>
      <x:c r="H184" s="20" t="str"/>
      <x:c r="I184" s="20" t="str"/>
      <x:c r="J184" s="20" t="str"/>
      <x:c r="K184" s="20" t="str"/>
      <x:c r="L184" s="20" t="str"/>
      <x:c r="M184" s="20" t="str"/>
      <x:c r="N184" s="20" t="str"/>
      <x:c r="O184" s="20" t="str">
        <x:v>Available</x:v>
      </x:c>
      <x:c r="P184" s="20" t="str">
        <x:v>Tidak</x:v>
      </x:c>
      <x:c r="Q184" s="20" t="str">
        <x:v>Accommodation_Arrangement_UPDATED.xlsx</x:v>
      </x:c>
    </x:row>
    <x:row r="185">
      <x:c r="A185" s="20" t="str">
        <x:v>ACC-H-075</x:v>
      </x:c>
      <x:c r="B185" s="20" t="str">
        <x:v>free</x:v>
      </x:c>
      <x:c r="C185" s="20" t="str">
        <x:v>free</x:v>
      </x:c>
      <x:c r="D185" s="20" t="str">
        <x:v>free</x:v>
      </x:c>
      <x:c r="E185" s="20" t="str">
        <x:v>Hotel</x:v>
      </x:c>
      <x:c r="F185" s="20" t="str">
        <x:v>Hotel Winton</x:v>
      </x:c>
      <x:c r="G185" s="20" t="n">
        <x:v>20</x:v>
      </x:c>
      <x:c r="H185" s="20" t="str"/>
      <x:c r="I185" s="20" t="str"/>
      <x:c r="J185" s="20" t="str"/>
      <x:c r="K185" s="20" t="str"/>
      <x:c r="L185" s="20" t="str"/>
      <x:c r="M185" s="20" t="str"/>
      <x:c r="N185" s="20" t="str"/>
      <x:c r="O185" s="20" t="str">
        <x:v>Available</x:v>
      </x:c>
      <x:c r="P185" s="20" t="str">
        <x:v>Tidak</x:v>
      </x:c>
      <x:c r="Q185" s="20" t="str">
        <x:v>Accommodation_Arrangement_UPDATED.xlsx</x:v>
      </x:c>
    </x:row>
    <x:row r="186">
      <x:c r="A186" s="20" t="str">
        <x:v>ACC-H-076</x:v>
      </x:c>
      <x:c r="B186" s="20" t="str">
        <x:v>free</x:v>
      </x:c>
      <x:c r="C186" s="20" t="str">
        <x:v>free</x:v>
      </x:c>
      <x:c r="D186" s="20" t="str">
        <x:v>free</x:v>
      </x:c>
      <x:c r="E186" s="20" t="str">
        <x:v>Hotel</x:v>
      </x:c>
      <x:c r="F186" s="20" t="str">
        <x:v>Hotel Grand Sydney</x:v>
      </x:c>
      <x:c r="G186" s="20" t="n">
        <x:v>1</x:v>
      </x:c>
      <x:c r="H186" s="20" t="str"/>
      <x:c r="I186" s="20" t="str">
        <x:v>Deluxe</x:v>
      </x:c>
      <x:c r="J186" s="20" t="str"/>
      <x:c r="K186" s="20" t="str"/>
      <x:c r="L186" s="20" t="str"/>
      <x:c r="M186" s="20" t="str"/>
      <x:c r="N186" s="20" t="str"/>
      <x:c r="O186" s="20" t="str">
        <x:v>Available</x:v>
      </x:c>
      <x:c r="P186" s="20" t="str">
        <x:v>Tidak</x:v>
      </x:c>
      <x:c r="Q186" s="20" t="str">
        <x:v>Accommodation_Arrangement_UPDATED.xlsx</x:v>
      </x:c>
    </x:row>
    <x:row r="187">
      <x:c r="A187" s="20" t="str">
        <x:v>ACC-H-077</x:v>
      </x:c>
      <x:c r="B187" s="20" t="str">
        <x:v>free</x:v>
      </x:c>
      <x:c r="C187" s="20" t="str">
        <x:v>free</x:v>
      </x:c>
      <x:c r="D187" s="20" t="str">
        <x:v>free</x:v>
      </x:c>
      <x:c r="E187" s="20" t="str">
        <x:v>Hotel</x:v>
      </x:c>
      <x:c r="F187" s="20" t="str">
        <x:v>Hotel Grand Sydney</x:v>
      </x:c>
      <x:c r="G187" s="20" t="n">
        <x:v>2</x:v>
      </x:c>
      <x:c r="H187" s="20" t="str"/>
      <x:c r="I187" s="20" t="str">
        <x:v>Deluxe</x:v>
      </x:c>
      <x:c r="J187" s="20" t="str"/>
      <x:c r="K187" s="20" t="str"/>
      <x:c r="L187" s="20" t="str"/>
      <x:c r="M187" s="20" t="str"/>
      <x:c r="N187" s="20" t="str"/>
      <x:c r="O187" s="20" t="str">
        <x:v>Available</x:v>
      </x:c>
      <x:c r="P187" s="20" t="str">
        <x:v>Tidak</x:v>
      </x:c>
      <x:c r="Q187" s="20" t="str">
        <x:v>Accommodation_Arrangement_UPDATED.xlsx</x:v>
      </x:c>
    </x:row>
    <x:row r="188">
      <x:c r="A188" s="20" t="str">
        <x:v>ACC-H-078</x:v>
      </x:c>
      <x:c r="B188" s="20" t="str">
        <x:v>free</x:v>
      </x:c>
      <x:c r="C188" s="20" t="str">
        <x:v>free</x:v>
      </x:c>
      <x:c r="D188" s="20" t="str">
        <x:v>free</x:v>
      </x:c>
      <x:c r="E188" s="20" t="str">
        <x:v>Hotel</x:v>
      </x:c>
      <x:c r="F188" s="20" t="str">
        <x:v>Hotel Grand Sydney</x:v>
      </x:c>
      <x:c r="G188" s="20" t="n">
        <x:v>3</x:v>
      </x:c>
      <x:c r="H188" s="20" t="str"/>
      <x:c r="I188" s="20" t="str">
        <x:v>Deluxe</x:v>
      </x:c>
      <x:c r="J188" s="20" t="str"/>
      <x:c r="K188" s="20" t="str"/>
      <x:c r="L188" s="20" t="str"/>
      <x:c r="M188" s="20" t="str"/>
      <x:c r="N188" s="20" t="str"/>
      <x:c r="O188" s="20" t="str">
        <x:v>Available</x:v>
      </x:c>
      <x:c r="P188" s="20" t="str">
        <x:v>Tidak</x:v>
      </x:c>
      <x:c r="Q188" s="20" t="str">
        <x:v>Accommodation_Arrangement_UPDATED.xlsx</x:v>
      </x:c>
    </x:row>
    <x:row r="189">
      <x:c r="A189" s="20" t="str">
        <x:v>ACC-H-079</x:v>
      </x:c>
      <x:c r="B189" s="20" t="str">
        <x:v>free</x:v>
      </x:c>
      <x:c r="C189" s="20" t="str">
        <x:v>free</x:v>
      </x:c>
      <x:c r="D189" s="20" t="str">
        <x:v>free</x:v>
      </x:c>
      <x:c r="E189" s="20" t="str">
        <x:v>Hotel</x:v>
      </x:c>
      <x:c r="F189" s="20" t="str">
        <x:v>Hotel Grand Sydney</x:v>
      </x:c>
      <x:c r="G189" s="20" t="n">
        <x:v>4</x:v>
      </x:c>
      <x:c r="H189" s="20" t="str"/>
      <x:c r="I189" s="20" t="str">
        <x:v>Deluxe</x:v>
      </x:c>
      <x:c r="J189" s="20" t="str"/>
      <x:c r="K189" s="20" t="str"/>
      <x:c r="L189" s="20" t="str"/>
      <x:c r="M189" s="20" t="str"/>
      <x:c r="N189" s="20" t="str"/>
      <x:c r="O189" s="20" t="str">
        <x:v>Available</x:v>
      </x:c>
      <x:c r="P189" s="20" t="str">
        <x:v>Tidak</x:v>
      </x:c>
      <x:c r="Q189" s="20" t="str">
        <x:v>Accommodation_Arrangement_UPDATED.xlsx</x:v>
      </x:c>
    </x:row>
    <x:row r="190">
      <x:c r="A190" s="20" t="str">
        <x:v>ACC-H-080</x:v>
      </x:c>
      <x:c r="B190" s="20" t="str">
        <x:v>free</x:v>
      </x:c>
      <x:c r="C190" s="20" t="str">
        <x:v>free</x:v>
      </x:c>
      <x:c r="D190" s="20" t="str">
        <x:v>free</x:v>
      </x:c>
      <x:c r="E190" s="20" t="str">
        <x:v>Hotel</x:v>
      </x:c>
      <x:c r="F190" s="20" t="str">
        <x:v>Hotel Grand Sydney</x:v>
      </x:c>
      <x:c r="G190" s="20" t="n">
        <x:v>5</x:v>
      </x:c>
      <x:c r="H190" s="20" t="str"/>
      <x:c r="I190" s="20" t="str">
        <x:v>Deluxe</x:v>
      </x:c>
      <x:c r="J190" s="20" t="str"/>
      <x:c r="K190" s="20" t="str"/>
      <x:c r="L190" s="20" t="str"/>
      <x:c r="M190" s="20" t="str"/>
      <x:c r="N190" s="20" t="str"/>
      <x:c r="O190" s="20" t="str">
        <x:v>Available</x:v>
      </x:c>
      <x:c r="P190" s="20" t="str">
        <x:v>Tidak</x:v>
      </x:c>
      <x:c r="Q190" s="20" t="str">
        <x:v>Accommodation_Arrangement_UPDATED.xlsx</x:v>
      </x:c>
    </x:row>
    <x:row r="191">
      <x:c r="A191" s="20" t="str">
        <x:v>ACC-H-081</x:v>
      </x:c>
      <x:c r="B191" s="20" t="str">
        <x:v>free</x:v>
      </x:c>
      <x:c r="C191" s="20" t="str">
        <x:v>free</x:v>
      </x:c>
      <x:c r="D191" s="20" t="str">
        <x:v>free</x:v>
      </x:c>
      <x:c r="E191" s="20" t="str">
        <x:v>Hotel</x:v>
      </x:c>
      <x:c r="F191" s="20" t="str">
        <x:v>Hotel Grand Sydney</x:v>
      </x:c>
      <x:c r="G191" s="20" t="n">
        <x:v>6</x:v>
      </x:c>
      <x:c r="H191" s="20" t="str"/>
      <x:c r="I191" s="20" t="str">
        <x:v>Deluxe</x:v>
      </x:c>
      <x:c r="J191" s="20" t="str"/>
      <x:c r="K191" s="20" t="str"/>
      <x:c r="L191" s="20" t="str"/>
      <x:c r="M191" s="20" t="str"/>
      <x:c r="N191" s="20" t="str"/>
      <x:c r="O191" s="20" t="str">
        <x:v>Available</x:v>
      </x:c>
      <x:c r="P191" s="20" t="str">
        <x:v>Tidak</x:v>
      </x:c>
      <x:c r="Q191" s="20" t="str">
        <x:v>Accommodation_Arrangement_UPDATED.xlsx</x:v>
      </x:c>
    </x:row>
    <x:row r="192">
      <x:c r="A192" s="20" t="str">
        <x:v>ACC-H-082</x:v>
      </x:c>
      <x:c r="B192" s="20" t="str">
        <x:v>free</x:v>
      </x:c>
      <x:c r="C192" s="20" t="str">
        <x:v>free</x:v>
      </x:c>
      <x:c r="D192" s="20" t="str">
        <x:v>free</x:v>
      </x:c>
      <x:c r="E192" s="20" t="str">
        <x:v>Hotel</x:v>
      </x:c>
      <x:c r="F192" s="20" t="str">
        <x:v>Hotel Grand Sydney</x:v>
      </x:c>
      <x:c r="G192" s="20" t="n">
        <x:v>7</x:v>
      </x:c>
      <x:c r="H192" s="20" t="str"/>
      <x:c r="I192" s="20" t="str">
        <x:v>Deluxe</x:v>
      </x:c>
      <x:c r="J192" s="20" t="str"/>
      <x:c r="K192" s="20" t="str"/>
      <x:c r="L192" s="20" t="str"/>
      <x:c r="M192" s="20" t="str"/>
      <x:c r="N192" s="20" t="str"/>
      <x:c r="O192" s="20" t="str">
        <x:v>Available</x:v>
      </x:c>
      <x:c r="P192" s="20" t="str">
        <x:v>Tidak</x:v>
      </x:c>
      <x:c r="Q192" s="20" t="str">
        <x:v>Accommodation_Arrangement_UPDATED.xlsx</x:v>
      </x:c>
    </x:row>
    <x:row r="193">
      <x:c r="A193" s="20" t="str">
        <x:v>ACC-H-083</x:v>
      </x:c>
      <x:c r="B193" s="20" t="str">
        <x:v>free</x:v>
      </x:c>
      <x:c r="C193" s="20" t="str">
        <x:v>free</x:v>
      </x:c>
      <x:c r="D193" s="20" t="str">
        <x:v>free</x:v>
      </x:c>
      <x:c r="E193" s="20" t="str">
        <x:v>Hotel</x:v>
      </x:c>
      <x:c r="F193" s="20" t="str">
        <x:v>Hotel Grand Sydney</x:v>
      </x:c>
      <x:c r="G193" s="20" t="n">
        <x:v>8</x:v>
      </x:c>
      <x:c r="H193" s="20" t="str"/>
      <x:c r="I193" s="20" t="str">
        <x:v>Deluxe</x:v>
      </x:c>
      <x:c r="J193" s="20" t="str"/>
      <x:c r="K193" s="20" t="str"/>
      <x:c r="L193" s="20" t="str"/>
      <x:c r="M193" s="20" t="str"/>
      <x:c r="N193" s="20" t="str"/>
      <x:c r="O193" s="20" t="str">
        <x:v>Available</x:v>
      </x:c>
      <x:c r="P193" s="20" t="str">
        <x:v>Tidak</x:v>
      </x:c>
      <x:c r="Q193" s="20" t="str">
        <x:v>Accommodation_Arrangement_UPDATED.xlsx</x:v>
      </x:c>
    </x:row>
    <x:row r="194">
      <x:c r="A194" s="20" t="str">
        <x:v>ACC-H-084</x:v>
      </x:c>
      <x:c r="B194" s="20" t="str">
        <x:v>free</x:v>
      </x:c>
      <x:c r="C194" s="20" t="str">
        <x:v>free</x:v>
      </x:c>
      <x:c r="D194" s="20" t="str">
        <x:v>free</x:v>
      </x:c>
      <x:c r="E194" s="20" t="str">
        <x:v>Hotel</x:v>
      </x:c>
      <x:c r="F194" s="20" t="str">
        <x:v>Hotel Grand Sydney</x:v>
      </x:c>
      <x:c r="G194" s="20" t="n">
        <x:v>9</x:v>
      </x:c>
      <x:c r="H194" s="20" t="str"/>
      <x:c r="I194" s="20" t="str">
        <x:v>Deluxe</x:v>
      </x:c>
      <x:c r="J194" s="20" t="str"/>
      <x:c r="K194" s="20" t="str"/>
      <x:c r="L194" s="20" t="str"/>
      <x:c r="M194" s="20" t="str"/>
      <x:c r="N194" s="20" t="str"/>
      <x:c r="O194" s="20" t="str">
        <x:v>Available</x:v>
      </x:c>
      <x:c r="P194" s="20" t="str">
        <x:v>Tidak</x:v>
      </x:c>
      <x:c r="Q194" s="20" t="str">
        <x:v>Accommodation_Arrangement_UPDATED.xlsx</x:v>
      </x:c>
    </x:row>
    <x:row r="195">
      <x:c r="A195" s="20" t="str">
        <x:v>ACC-H-085</x:v>
      </x:c>
      <x:c r="B195" s="20" t="str">
        <x:v>free</x:v>
      </x:c>
      <x:c r="C195" s="20" t="str">
        <x:v>free</x:v>
      </x:c>
      <x:c r="D195" s="20" t="str">
        <x:v>free</x:v>
      </x:c>
      <x:c r="E195" s="20" t="str">
        <x:v>Hotel</x:v>
      </x:c>
      <x:c r="F195" s="20" t="str">
        <x:v>Hotel Grand Sydney</x:v>
      </x:c>
      <x:c r="G195" s="20" t="n">
        <x:v>10</x:v>
      </x:c>
      <x:c r="H195" s="20" t="str"/>
      <x:c r="I195" s="20" t="str">
        <x:v>Deluxe</x:v>
      </x:c>
      <x:c r="J195" s="20" t="str"/>
      <x:c r="K195" s="20" t="str"/>
      <x:c r="L195" s="20" t="str"/>
      <x:c r="M195" s="20" t="str"/>
      <x:c r="N195" s="20" t="str"/>
      <x:c r="O195" s="20" t="str">
        <x:v>Available</x:v>
      </x:c>
      <x:c r="P195" s="20" t="str">
        <x:v>Tidak</x:v>
      </x:c>
      <x:c r="Q195" s="20" t="str">
        <x:v>Accommodation_Arrangement_UPDATED.xlsx</x:v>
      </x:c>
    </x:row>
    <x:row r="196">
      <x:c r="A196" s="20" t="str">
        <x:v>ACC-H-086</x:v>
      </x:c>
      <x:c r="B196" s="20" t="str">
        <x:v>Marzuki Daud</x:v>
      </x:c>
      <x:c r="C196" s="20" t="str">
        <x:v>Komisaris Utama</x:v>
      </x:c>
      <x:c r="D196" s="20" t="str">
        <x:v>PT Pupuk Iskandar Muda</x:v>
      </x:c>
      <x:c r="E196" s="20" t="str">
        <x:v>Hotel</x:v>
      </x:c>
      <x:c r="F196" s="20" t="str">
        <x:v>Hotel Safwa</x:v>
      </x:c>
      <x:c r="G196" s="20" t="n">
        <x:v>1</x:v>
      </x:c>
      <x:c r="H196" s="20" t="str"/>
      <x:c r="I196" s="20" t="str"/>
      <x:c r="J196" s="20" t="str"/>
      <x:c r="K196" s="20" t="str"/>
      <x:c r="L196" s="20" t="str"/>
      <x:c r="M196" s="20" t="str"/>
      <x:c r="N196" s="20" t="str"/>
      <x:c r="O196" s="20" t="str">
        <x:v>Occupied</x:v>
      </x:c>
      <x:c r="P196" s="20" t="str">
        <x:v>Ya</x:v>
      </x:c>
      <x:c r="Q196" s="20" t="str">
        <x:v>Accommodation_Arrangement_UPDATED.xlsx</x:v>
      </x:c>
    </x:row>
    <x:row r="197">
      <x:c r="A197" s="20" t="str">
        <x:v>ACC-H-087</x:v>
      </x:c>
      <x:c r="B197" s="20" t="str">
        <x:v>Supardiyanto</x:v>
      </x:c>
      <x:c r="C197" s="20" t="str">
        <x:v>Komisaris</x:v>
      </x:c>
      <x:c r="D197" s="20" t="str">
        <x:v>PT Pupuk Iskandar Muda</x:v>
      </x:c>
      <x:c r="E197" s="20" t="str">
        <x:v>Hotel</x:v>
      </x:c>
      <x:c r="F197" s="20" t="str">
        <x:v>Hotel Safwa</x:v>
      </x:c>
      <x:c r="G197" s="20" t="n">
        <x:v>2</x:v>
      </x:c>
      <x:c r="H197" s="20" t="str"/>
      <x:c r="I197" s="20" t="str"/>
      <x:c r="J197" s="20" t="str"/>
      <x:c r="K197" s="20" t="str"/>
      <x:c r="L197" s="20" t="str"/>
      <x:c r="M197" s="20" t="str"/>
      <x:c r="N197" s="20" t="str"/>
      <x:c r="O197" s="20" t="str">
        <x:v>Occupied</x:v>
      </x:c>
      <x:c r="P197" s="20" t="str">
        <x:v>Ya</x:v>
      </x:c>
      <x:c r="Q197" s="20" t="str">
        <x:v>Accommodation_Arrangement_UPDATED.xlsx</x:v>
      </x:c>
    </x:row>
    <x:row r="198">
      <x:c r="A198" s="20" t="str">
        <x:v>ACC-H-088</x:v>
      </x:c>
      <x:c r="B198" s="20" t="str">
        <x:v>Zulmahdi Hasan</x:v>
      </x:c>
      <x:c r="C198" s="20" t="str">
        <x:v>Komisaris</x:v>
      </x:c>
      <x:c r="D198" s="20" t="str">
        <x:v>PT Pupuk Iskandar Muda</x:v>
      </x:c>
      <x:c r="E198" s="20" t="str">
        <x:v>Hotel</x:v>
      </x:c>
      <x:c r="F198" s="20" t="str">
        <x:v>Hotel Safwa</x:v>
      </x:c>
      <x:c r="G198" s="20" t="n">
        <x:v>3</x:v>
      </x:c>
      <x:c r="H198" s="20" t="str"/>
      <x:c r="I198" s="20" t="str"/>
      <x:c r="J198" s="20" t="str"/>
      <x:c r="K198" s="20" t="str"/>
      <x:c r="L198" s="20" t="str"/>
      <x:c r="M198" s="20" t="str"/>
      <x:c r="N198" s="20" t="str"/>
      <x:c r="O198" s="20" t="str">
        <x:v>Occupied</x:v>
      </x:c>
      <x:c r="P198" s="20" t="str">
        <x:v>Ya</x:v>
      </x:c>
      <x:c r="Q198" s="20" t="str">
        <x:v>Accommodation_Arrangement_UPDATED.xlsx</x:v>
      </x:c>
    </x:row>
    <x:row r="199">
      <x:c r="A199" s="20" t="str">
        <x:v>ACC-H-089</x:v>
      </x:c>
      <x:c r="B199" s="20" t="str">
        <x:v>Teuku Asmoni</x:v>
      </x:c>
      <x:c r="C199" s="20" t="str">
        <x:v>Komisaris Independen</x:v>
      </x:c>
      <x:c r="D199" s="20" t="str">
        <x:v>PT Pupuk Iskandar Muda</x:v>
      </x:c>
      <x:c r="E199" s="20" t="str">
        <x:v>Hotel</x:v>
      </x:c>
      <x:c r="F199" s="20" t="str">
        <x:v>Hotel Safwa</x:v>
      </x:c>
      <x:c r="G199" s="20" t="n">
        <x:v>4</x:v>
      </x:c>
      <x:c r="H199" s="20" t="str"/>
      <x:c r="I199" s="20" t="str"/>
      <x:c r="J199" s="20" t="str"/>
      <x:c r="K199" s="20" t="str"/>
      <x:c r="L199" s="20" t="str"/>
      <x:c r="M199" s="20" t="str"/>
      <x:c r="N199" s="20" t="str"/>
      <x:c r="O199" s="20" t="str">
        <x:v>Occupied</x:v>
      </x:c>
      <x:c r="P199" s="20" t="str">
        <x:v>Ya</x:v>
      </x:c>
      <x:c r="Q199" s="20" t="str">
        <x:v>Accommodation_Arrangement_UPDATED.xlsx</x:v>
      </x:c>
    </x:row>
    <x:row r="200">
      <x:c r="A200" s="20" t="str">
        <x:v>ACC-H-090</x:v>
      </x:c>
      <x:c r="B200" s="20" t="str">
        <x:v>Eko Dafid Afianto</x:v>
      </x:c>
      <x:c r="C200" s="20" t="str">
        <x:v>Komisaris Independen</x:v>
      </x:c>
      <x:c r="D200" s="20" t="str">
        <x:v>PT Pupuk Iskandar Muda</x:v>
      </x:c>
      <x:c r="E200" s="20" t="str">
        <x:v>Hotel</x:v>
      </x:c>
      <x:c r="F200" s="20" t="str">
        <x:v>Hotel Safwa</x:v>
      </x:c>
      <x:c r="G200" s="20" t="n">
        <x:v>5</x:v>
      </x:c>
      <x:c r="H200" s="20" t="str"/>
      <x:c r="I200" s="20" t="str"/>
      <x:c r="J200" s="20" t="str"/>
      <x:c r="K200" s="20" t="str"/>
      <x:c r="L200" s="20" t="str"/>
      <x:c r="M200" s="20" t="str"/>
      <x:c r="N200" s="20" t="str"/>
      <x:c r="O200" s="20" t="str">
        <x:v>Occupied</x:v>
      </x:c>
      <x:c r="P200" s="20" t="str">
        <x:v>Ya</x:v>
      </x:c>
      <x:c r="Q200" s="20" t="str">
        <x:v>Accommodation_Arrangement_UPDATED.xlsx</x:v>
      </x:c>
    </x:row>
    <x:row r="201">
      <x:c r="A201" s="20" t="str">
        <x:v>ACC-H-091</x:v>
      </x:c>
      <x:c r="B201" s="20" t="str">
        <x:v>Teuku Muhammad Nurlif</x:v>
      </x:c>
      <x:c r="C201" s="20" t="str">
        <x:v>Komisaris Independen</x:v>
      </x:c>
      <x:c r="D201" s="20" t="str">
        <x:v>PT Pupuk Iskandar Muda</x:v>
      </x:c>
      <x:c r="E201" s="20" t="str">
        <x:v>Hotel</x:v>
      </x:c>
      <x:c r="F201" s="20" t="str">
        <x:v>Hotel Safwa</x:v>
      </x:c>
      <x:c r="G201" s="20" t="n">
        <x:v>6</x:v>
      </x:c>
      <x:c r="H201" s="20" t="str"/>
      <x:c r="I201" s="20" t="str"/>
      <x:c r="J201" s="20" t="str"/>
      <x:c r="K201" s="20" t="str"/>
      <x:c r="L201" s="20" t="str"/>
      <x:c r="M201" s="20" t="str"/>
      <x:c r="N201" s="20" t="str"/>
      <x:c r="O201" s="20" t="str">
        <x:v>Occupied</x:v>
      </x:c>
      <x:c r="P201" s="20" t="str">
        <x:v>Ya</x:v>
      </x:c>
      <x:c r="Q201" s="20" t="str">
        <x:v>Accommodation_Arrangement_UPDATED.xlsx</x:v>
      </x:c>
    </x:row>
    <x:row r="202">
      <x:c r="A202" s="20" t="str">
        <x:v>ACC-H-092</x:v>
      </x:c>
      <x:c r="B202" s="20" t="str">
        <x:v>Staf</x:v>
      </x:c>
      <x:c r="C202" s="20" t="str">
        <x:v>Staf</x:v>
      </x:c>
      <x:c r="D202" s="20" t="str">
        <x:v>PT Pupuk Iskandar Muda</x:v>
      </x:c>
      <x:c r="E202" s="20" t="str">
        <x:v>Hotel</x:v>
      </x:c>
      <x:c r="F202" s="20" t="str">
        <x:v>Hotel Safwa</x:v>
      </x:c>
      <x:c r="G202" s="20" t="n">
        <x:v>7</x:v>
      </x:c>
      <x:c r="H202" s="20" t="str"/>
      <x:c r="I202" s="20" t="str"/>
      <x:c r="J202" s="20" t="str"/>
      <x:c r="K202" s="20" t="str"/>
      <x:c r="L202" s="20" t="str"/>
      <x:c r="M202" s="20" t="str"/>
      <x:c r="N202" s="20" t="str"/>
      <x:c r="O202" s="20" t="str">
        <x:v>Occupied</x:v>
      </x:c>
      <x:c r="P202" s="20" t="str">
        <x:v>Ya</x:v>
      </x:c>
      <x:c r="Q202" s="20" t="str">
        <x:v>Accommodation_Arrangement_UPDATED.xlsx</x:v>
      </x:c>
    </x:row>
    <x:row r="203">
      <x:c r="A203" s="20" t="str">
        <x:v>ACC-H-093</x:v>
      </x:c>
      <x:c r="B203" s="20" t="str">
        <x:v>Staf</x:v>
      </x:c>
      <x:c r="C203" s="20" t="str">
        <x:v>Staf</x:v>
      </x:c>
      <x:c r="D203" s="20" t="str">
        <x:v>PT Pupuk Iskandar Muda</x:v>
      </x:c>
      <x:c r="E203" s="20" t="str">
        <x:v>Hotel</x:v>
      </x:c>
      <x:c r="F203" s="20" t="str">
        <x:v>Hotel Safwa</x:v>
      </x:c>
      <x:c r="G203" s="20" t="n">
        <x:v>8</x:v>
      </x:c>
      <x:c r="H203" s="20" t="str"/>
      <x:c r="I203" s="20" t="str"/>
      <x:c r="J203" s="20" t="str"/>
      <x:c r="K203" s="20" t="str"/>
      <x:c r="L203" s="20" t="str"/>
      <x:c r="M203" s="20" t="str"/>
      <x:c r="N203" s="20" t="str"/>
      <x:c r="O203" s="20" t="str">
        <x:v>Occupied</x:v>
      </x:c>
      <x:c r="P203" s="20" t="str">
        <x:v>Ya</x:v>
      </x:c>
      <x:c r="Q203" s="20" t="str">
        <x:v>Accommodation_Arrangement_UPDATED.xlsx</x:v>
      </x:c>
    </x:row>
    <x:row r="204">
      <x:c r="A204" s="20" t="str">
        <x:v>ACC-H-094</x:v>
      </x:c>
      <x:c r="B204" s="20" t="str">
        <x:v>Staf</x:v>
      </x:c>
      <x:c r="C204" s="20" t="str">
        <x:v>Staf</x:v>
      </x:c>
      <x:c r="D204" s="20" t="str">
        <x:v>PT Pupuk Iskandar Muda</x:v>
      </x:c>
      <x:c r="E204" s="20" t="str">
        <x:v>Hotel</x:v>
      </x:c>
      <x:c r="F204" s="20" t="str">
        <x:v>Hotel Safwa</x:v>
      </x:c>
      <x:c r="G204" s="20" t="n">
        <x:v>9</x:v>
      </x:c>
      <x:c r="H204" s="20" t="str"/>
      <x:c r="I204" s="20" t="str"/>
      <x:c r="J204" s="20" t="str"/>
      <x:c r="K204" s="20" t="str"/>
      <x:c r="L204" s="20" t="str"/>
      <x:c r="M204" s="20" t="str"/>
      <x:c r="N204" s="20" t="str"/>
      <x:c r="O204" s="20" t="str">
        <x:v>Occupied</x:v>
      </x:c>
      <x:c r="P204" s="20" t="str">
        <x:v>Ya</x:v>
      </x:c>
      <x:c r="Q204" s="20" t="str">
        <x:v>Accommodation_Arrangement_UPDATED.xlsx</x:v>
      </x:c>
    </x:row>
    <x:row r="205">
      <x:c r="A205" s="20" t="str">
        <x:v>ACC-H-095</x:v>
      </x:c>
      <x:c r="B205" s="20" t="str">
        <x:v>Staf</x:v>
      </x:c>
      <x:c r="C205" s="20" t="str">
        <x:v>Staf</x:v>
      </x:c>
      <x:c r="D205" s="20" t="str">
        <x:v>PT Pupuk Iskandar Muda</x:v>
      </x:c>
      <x:c r="E205" s="20" t="str">
        <x:v>Hotel</x:v>
      </x:c>
      <x:c r="F205" s="20" t="str">
        <x:v>Hotel Safwa</x:v>
      </x:c>
      <x:c r="G205" s="20" t="n">
        <x:v>10</x:v>
      </x:c>
      <x:c r="H205" s="20" t="str"/>
      <x:c r="I205" s="20" t="str"/>
      <x:c r="J205" s="20" t="str"/>
      <x:c r="K205" s="20" t="str"/>
      <x:c r="L205" s="20" t="str"/>
      <x:c r="M205" s="20" t="str"/>
      <x:c r="N205" s="20" t="str"/>
      <x:c r="O205" s="20" t="str">
        <x:v>Occupied</x:v>
      </x:c>
      <x:c r="P205" s="20" t="str">
        <x:v>Ya</x:v>
      </x:c>
      <x:c r="Q205" s="20" t="str">
        <x:v>Accommodation_Arrangement_UPDATED.xlsx</x:v>
      </x:c>
    </x:row>
  </x:sheetData>
  <x:conditionalFormatting sqref="L2:L205">
    <x:cfRule type="expression" dxfId="7" priority="1">
      <x:formula>L2="Ready"</x:formula>
    </x:cfRule>
    <x:cfRule type="expression" dxfId="8" priority="2">
      <x:formula>L2="Needs Action"</x:formula>
    </x:cfRule>
  </x:conditionalFormatting>
  <x:dataValidations count="2">
    <x:dataValidation type="list" sqref="O2:O500">
      <x:formula1>"Occupied,Available,Reserved,TBC"</x:formula1>
    </x:dataValidation>
    <x:dataValidation type="list" sqref="P2:P5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97e05ac21347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16" hidden="0" customWidth="1"/>
    <x:col min="11" max="11" width="18" hidden="0" customWidth="1"/>
    <x:col min="12" max="12" width="14" hidden="0" customWidth="1"/>
    <x:col min="13" max="13" width="40" hidden="0" customWidth="1"/>
  </x:cols>
  <x:sheetData>
    <x:row r="1" ht="30" customHeight="1">
      <x:c r="A1" s="14" t="str">
        <x:v>LO ID</x:v>
      </x:c>
      <x:c r="B1" s="14" t="str">
        <x:v>Company / Institution</x:v>
      </x:c>
      <x:c r="C1" s="14" t="str">
        <x:v>VIP Category</x:v>
      </x:c>
      <x:c r="D1" s="14" t="str">
        <x:v>Assigned LO</x:v>
      </x:c>
      <x:c r="E1" s="14" t="str">
        <x:v>Badge / Employee No.</x:v>
      </x:c>
      <x:c r="F1" s="14" t="str">
        <x:v>Phone</x:v>
      </x:c>
      <x:c r="G1" s="14" t="str">
        <x:v>Arrival</x:v>
      </x:c>
      <x:c r="H1" s="14" t="str">
        <x:v>Departure</x:v>
      </x:c>
      <x:c r="I1" s="14" t="str">
        <x:v>Accommodation</x:v>
      </x:c>
      <x:c r="J1" s="14" t="str">
        <x:v>Location Note</x:v>
      </x:c>
      <x:c r="K1" s="14" t="str">
        <x:v>Status</x:v>
      </x:c>
      <x:c r="L1" s="14" t="str">
        <x:v>Publish to PWA</x:v>
      </x:c>
      <x:c r="M1" s="14" t="str">
        <x:v>Notes</x:v>
      </x:c>
    </x:row>
    <x:row r="2">
      <x:c r="A2" s="20" t="str">
        <x:v>LO-001</x:v>
      </x:c>
      <x:c r="B2" s="20" t="str">
        <x:v>Koordinasi LO</x:v>
      </x:c>
      <x:c r="C2" s="20" t="str">
        <x:v>Koordinator</x:v>
      </x:c>
      <x:c r="D2" s="20" t="str">
        <x:v>Yusrizal</x:v>
      </x:c>
      <x:c r="E2" s="20" t="str">
        <x:v>5122009</x:v>
      </x:c>
      <x:c r="F2" s="20" t="str"/>
      <x:c r="G2" s="20" t="str"/>
      <x:c r="H2" s="20" t="str"/>
      <x:c r="I2" s="20" t="str"/>
      <x:c r="J2" s="20" t="str"/>
      <x:c r="K2" s="20" t="str">
        <x:v>Referensi</x:v>
      </x:c>
      <x:c r="L2" s="20" t="str">
        <x:v>Ya</x:v>
      </x:c>
      <x:c r="M2" s="20" t="str">
        <x:v>Sumber: Daftar LO; editable</x:v>
      </x:c>
    </x:row>
    <x:row r="3">
      <x:c r="A3" s="20" t="str">
        <x:v>LO-002</x:v>
      </x:c>
      <x:c r="B3" s="20" t="str">
        <x:v>Koordinasi LO</x:v>
      </x:c>
      <x:c r="C3" s="20" t="str">
        <x:v>Ketua LO</x:v>
      </x:c>
      <x:c r="D3" s="20" t="str">
        <x:v>Farhul Hadi</x:v>
      </x:c>
      <x:c r="E3" s="20" t="str">
        <x:v>5122015</x:v>
      </x:c>
      <x:c r="F3" s="20" t="str"/>
      <x:c r="G3" s="20" t="str"/>
      <x:c r="H3" s="20" t="str"/>
      <x:c r="I3" s="20" t="str"/>
      <x:c r="J3" s="20" t="str"/>
      <x:c r="K3" s="20" t="str">
        <x:v>Referensi</x:v>
      </x:c>
      <x:c r="L3" s="20" t="str">
        <x:v>Ya</x:v>
      </x:c>
      <x:c r="M3" s="20" t="str">
        <x:v>Sumber: Daftar LO; editable</x:v>
      </x:c>
    </x:row>
    <x:row r="4">
      <x:c r="A4" s="20" t="str">
        <x:v>LO-003</x:v>
      </x:c>
      <x:c r="B4" s="20" t="str">
        <x:v>Koordinasi LO</x:v>
      </x:c>
      <x:c r="C4" s="20" t="str">
        <x:v>Anggota</x:v>
      </x:c>
      <x:c r="D4" s="20" t="str">
        <x:v>Fariz Ridha</x:v>
      </x:c>
      <x:c r="E4" s="20" t="str">
        <x:v>5180030</x:v>
      </x:c>
      <x:c r="F4" s="20" t="str"/>
      <x:c r="G4" s="20" t="str"/>
      <x:c r="H4" s="20" t="str"/>
      <x:c r="I4" s="20" t="str"/>
      <x:c r="J4" s="20" t="str"/>
      <x:c r="K4" s="20" t="str">
        <x:v>Referensi</x:v>
      </x:c>
      <x:c r="L4" s="20" t="str">
        <x:v>Ya</x:v>
      </x:c>
      <x:c r="M4" s="20" t="str">
        <x:v>Sumber: Daftar LO; editable</x:v>
      </x:c>
    </x:row>
    <x:row r="5">
      <x:c r="A5" s="20" t="str">
        <x:v>LO-004</x:v>
      </x:c>
      <x:c r="B5" s="20" t="str">
        <x:v>Koordinasi LO</x:v>
      </x:c>
      <x:c r="C5" s="20" t="str">
        <x:v>Anggota</x:v>
      </x:c>
      <x:c r="D5" s="20" t="str">
        <x:v>Azwarni Islamiah</x:v>
      </x:c>
      <x:c r="E5" s="20" t="str"/>
      <x:c r="F5" s="20" t="str"/>
      <x:c r="G5" s="20" t="str"/>
      <x:c r="H5" s="20" t="str"/>
      <x:c r="I5" s="20" t="str"/>
      <x:c r="J5" s="20" t="str"/>
      <x:c r="K5" s="20" t="str">
        <x:v>Referensi</x:v>
      </x:c>
      <x:c r="L5" s="20" t="str">
        <x:v>Ya</x:v>
      </x:c>
      <x:c r="M5" s="20" t="str">
        <x:v>Sumber: Daftar LO; editable</x:v>
      </x:c>
    </x:row>
    <x:row r="6">
      <x:c r="A6" s="20" t="str">
        <x:v>LO-005</x:v>
      </x:c>
      <x:c r="B6" s="20" t="str">
        <x:v>Pupuk Indonesia</x:v>
      </x:c>
      <x:c r="C6" s="20" t="str">
        <x:v>Direktur Utama</x:v>
      </x:c>
      <x:c r="D6" s="20" t="str">
        <x:v>Fahirul Muhar</x:v>
      </x:c>
      <x:c r="E6" s="20" t="str">
        <x:v>5180056</x:v>
      </x:c>
      <x:c r="F6" s="20" t="str"/>
      <x:c r="G6" s="20" t="str"/>
      <x:c r="H6" s="20" t="str"/>
      <x:c r="I6" s="20" t="str"/>
      <x:c r="J6" s="20" t="str"/>
      <x:c r="K6" s="20" t="str">
        <x:v>Perlu Konfirmasi</x:v>
      </x:c>
      <x:c r="L6" s="20" t="str">
        <x:v>Ya</x:v>
      </x:c>
      <x:c r="M6" s="20" t="str">
        <x:v>Sumber: Daftar LO; editable</x:v>
      </x:c>
    </x:row>
    <x:row r="7">
      <x:c r="A7" s="20" t="str">
        <x:v>LO-006</x:v>
      </x:c>
      <x:c r="B7" s="20" t="str">
        <x:v>Pupuk Indonesia</x:v>
      </x:c>
      <x:c r="C7" s="20" t="str">
        <x:v>Ketua PIKA</x:v>
      </x:c>
      <x:c r="D7" s="20" t="str">
        <x:v>Desna Syarafina</x:v>
      </x:c>
      <x:c r="E7" s="20" t="str">
        <x:v>5180038</x:v>
      </x:c>
      <x:c r="F7" s="20" t="str"/>
      <x:c r="G7" s="20" t="str"/>
      <x:c r="H7" s="20" t="str"/>
      <x:c r="I7" s="20" t="str"/>
      <x:c r="J7" s="20" t="str"/>
      <x:c r="K7" s="20" t="str">
        <x:v>Perlu Konfirmasi</x:v>
      </x:c>
      <x:c r="L7" s="20" t="str">
        <x:v>Ya</x:v>
      </x:c>
      <x:c r="M7" s="20" t="str">
        <x:v>Sumber: Daftar LO; editable</x:v>
      </x:c>
    </x:row>
    <x:row r="8">
      <x:c r="A8" s="20" t="str">
        <x:v>LO-007</x:v>
      </x:c>
      <x:c r="B8" s="20" t="str">
        <x:v>Pupuk Indonesia</x:v>
      </x:c>
      <x:c r="C8" s="20" t="str">
        <x:v>Komisaris</x:v>
      </x:c>
      <x:c r="D8" s="20" t="str">
        <x:v>Suryadi Idris</x:v>
      </x:c>
      <x:c r="E8" s="20" t="str">
        <x:v>5121987</x:v>
      </x:c>
      <x:c r="F8" s="20" t="str"/>
      <x:c r="G8" s="20" t="str"/>
      <x:c r="H8" s="20" t="str"/>
      <x:c r="I8" s="20" t="str"/>
      <x:c r="J8" s="20" t="str"/>
      <x:c r="K8" s="20" t="str">
        <x:v>Perlu Konfirmasi</x:v>
      </x:c>
      <x:c r="L8" s="20" t="str">
        <x:v>Ya</x:v>
      </x:c>
      <x:c r="M8" s="20" t="str">
        <x:v>Sumber: Daftar LO; editable</x:v>
      </x:c>
    </x:row>
    <x:row r="9">
      <x:c r="A9" s="20" t="str">
        <x:v>LO-008</x:v>
      </x:c>
      <x:c r="B9" s="20" t="str">
        <x:v>Pupuk Indonesia</x:v>
      </x:c>
      <x:c r="C9" s="20" t="str">
        <x:v>Para Direksi</x:v>
      </x:c>
      <x:c r="D9" s="20" t="str">
        <x:v>Raihandi Al Maghfirah</x:v>
      </x:c>
      <x:c r="E9" s="20" t="str">
        <x:v>5132100</x:v>
      </x:c>
      <x:c r="F9" s="20" t="str"/>
      <x:c r="G9" s="20" t="str"/>
      <x:c r="H9" s="20" t="str"/>
      <x:c r="I9" s="20" t="str"/>
      <x:c r="J9" s="20" t="str"/>
      <x:c r="K9" s="20" t="str">
        <x:v>Perlu Konfirmasi</x:v>
      </x:c>
      <x:c r="L9" s="20" t="str">
        <x:v>Ya</x:v>
      </x:c>
      <x:c r="M9" s="20" t="str">
        <x:v>Sumber: Daftar LO; editable</x:v>
      </x:c>
    </x:row>
    <x:row r="10">
      <x:c r="A10" s="20" t="str">
        <x:v>LO-009</x:v>
      </x:c>
      <x:c r="B10" s="20" t="str">
        <x:v>Pupuk Indonesia</x:v>
      </x:c>
      <x:c r="C10" s="20" t="str">
        <x:v>Para Direksi</x:v>
      </x:c>
      <x:c r="D10" s="20" t="str">
        <x:v>Mauliza Arsita</x:v>
      </x:c>
      <x:c r="E10" s="20" t="str">
        <x:v>5180028</x:v>
      </x:c>
      <x:c r="F10" s="20" t="str"/>
      <x:c r="G10" s="20" t="str"/>
      <x:c r="H10" s="20" t="str"/>
      <x:c r="I10" s="20" t="str"/>
      <x:c r="J10" s="20" t="str"/>
      <x:c r="K10" s="20" t="str">
        <x:v>Perlu Konfirmasi</x:v>
      </x:c>
      <x:c r="L10" s="20" t="str">
        <x:v>Ya</x:v>
      </x:c>
      <x:c r="M10" s="20" t="str">
        <x:v>Sumber: Daftar LO; editable</x:v>
      </x:c>
    </x:row>
    <x:row r="11">
      <x:c r="A11" s="20" t="str">
        <x:v>LO-010</x:v>
      </x:c>
      <x:c r="B11" s="20" t="str">
        <x:v>Pupuk Kaltim</x:v>
      </x:c>
      <x:c r="C11" s="20" t="str">
        <x:v>Direktur Utama</x:v>
      </x:c>
      <x:c r="D11" s="20" t="str">
        <x:v>Ihsan Pradana Haris</x:v>
      </x:c>
      <x:c r="E11" s="20" t="str">
        <x:v>5180032</x:v>
      </x:c>
      <x:c r="F11" s="20" t="str"/>
      <x:c r="G11" s="20" t="str"/>
      <x:c r="H11" s="20" t="str"/>
      <x:c r="I11" s="20" t="str"/>
      <x:c r="J11" s="20" t="str"/>
      <x:c r="K11" s="20" t="str">
        <x:v>Perlu Konfirmasi</x:v>
      </x:c>
      <x:c r="L11" s="20" t="str">
        <x:v>Ya</x:v>
      </x:c>
      <x:c r="M11" s="20" t="str">
        <x:v>Sumber: Daftar LO; editable</x:v>
      </x:c>
    </x:row>
    <x:row r="12">
      <x:c r="A12" s="20" t="str">
        <x:v>LO-011</x:v>
      </x:c>
      <x:c r="B12" s="20" t="str">
        <x:v>Pupuk Kaltim</x:v>
      </x:c>
      <x:c r="C12" s="20" t="str">
        <x:v>Ketua PIKA</x:v>
      </x:c>
      <x:c r="D12" s="20" t="str">
        <x:v>Nurasiah</x:v>
      </x:c>
      <x:c r="E12" s="20" t="str">
        <x:v>5180079</x:v>
      </x:c>
      <x:c r="F12" s="20" t="str"/>
      <x:c r="G12" s="20" t="str"/>
      <x:c r="H12" s="20" t="str"/>
      <x:c r="I12" s="20" t="str"/>
      <x:c r="J12" s="20" t="str"/>
      <x:c r="K12" s="20" t="str">
        <x:v>Perlu Konfirmasi</x:v>
      </x:c>
      <x:c r="L12" s="20" t="str">
        <x:v>Ya</x:v>
      </x:c>
      <x:c r="M12" s="20" t="str">
        <x:v>Sumber: Daftar LO; editable</x:v>
      </x:c>
    </x:row>
    <x:row r="13">
      <x:c r="A13" s="20" t="str">
        <x:v>LO-012</x:v>
      </x:c>
      <x:c r="B13" s="20" t="str">
        <x:v>Pupuk Kaltim</x:v>
      </x:c>
      <x:c r="C13" s="20" t="str">
        <x:v>Komisaris</x:v>
      </x:c>
      <x:c r="D13" s="20" t="str">
        <x:v>Dede Praja Z</x:v>
      </x:c>
      <x:c r="E13" s="20" t="str">
        <x:v>5180101</x:v>
      </x:c>
      <x:c r="F13" s="20" t="str"/>
      <x:c r="G13" s="20" t="str"/>
      <x:c r="H13" s="20" t="str"/>
      <x:c r="I13" s="20" t="str"/>
      <x:c r="J13" s="20" t="str"/>
      <x:c r="K13" s="20" t="str">
        <x:v>Perlu Konfirmasi</x:v>
      </x:c>
      <x:c r="L13" s="20" t="str">
        <x:v>Ya</x:v>
      </x:c>
      <x:c r="M13" s="20" t="str">
        <x:v>Sumber: Daftar LO; editable</x:v>
      </x:c>
    </x:row>
    <x:row r="14">
      <x:c r="A14" s="20" t="str">
        <x:v>LO-013</x:v>
      </x:c>
      <x:c r="B14" s="20" t="str">
        <x:v>Pupuk Kaltim</x:v>
      </x:c>
      <x:c r="C14" s="20" t="str">
        <x:v>Para Direksi</x:v>
      </x:c>
      <x:c r="D14" s="20" t="str">
        <x:v>Danil Maha Putra</x:v>
      </x:c>
      <x:c r="E14" s="20" t="str">
        <x:v>5200001</x:v>
      </x:c>
      <x:c r="F14" s="20" t="str"/>
      <x:c r="G14" s="20" t="str"/>
      <x:c r="H14" s="20" t="str"/>
      <x:c r="I14" s="20" t="str"/>
      <x:c r="J14" s="20" t="str"/>
      <x:c r="K14" s="20" t="str">
        <x:v>Perlu Konfirmasi</x:v>
      </x:c>
      <x:c r="L14" s="20" t="str">
        <x:v>Ya</x:v>
      </x:c>
      <x:c r="M14" s="20" t="str">
        <x:v>Sumber: Daftar LO; editable</x:v>
      </x:c>
    </x:row>
    <x:row r="15">
      <x:c r="A15" s="20" t="str">
        <x:v>LO-014</x:v>
      </x:c>
      <x:c r="B15" s="20" t="str">
        <x:v>Petrokimia Gresik</x:v>
      </x:c>
      <x:c r="C15" s="20" t="str">
        <x:v>Direktur Utama</x:v>
      </x:c>
      <x:c r="D15" s="20" t="str">
        <x:v>Feri Effendi</x:v>
      </x:c>
      <x:c r="E15" s="20" t="str">
        <x:v>5081867</x:v>
      </x:c>
      <x:c r="F15" s="20" t="str"/>
      <x:c r="G15" s="20" t="str"/>
      <x:c r="H15" s="20" t="str"/>
      <x:c r="I15" s="20" t="str"/>
      <x:c r="J15" s="20" t="str"/>
      <x:c r="K15" s="20" t="str">
        <x:v>Perlu Konfirmasi</x:v>
      </x:c>
      <x:c r="L15" s="20" t="str">
        <x:v>Ya</x:v>
      </x:c>
      <x:c r="M15" s="20" t="str">
        <x:v>Sumber: Daftar LO; editable</x:v>
      </x:c>
    </x:row>
    <x:row r="16">
      <x:c r="A16" s="20" t="str">
        <x:v>LO-015</x:v>
      </x:c>
      <x:c r="B16" s="20" t="str">
        <x:v>Petrokimia Gresik</x:v>
      </x:c>
      <x:c r="C16" s="20" t="str">
        <x:v>Ketua PIKA</x:v>
      </x:c>
      <x:c r="D16" s="20" t="str">
        <x:v>Cut Zakiah Zuhra</x:v>
      </x:c>
      <x:c r="E16" s="20" t="str">
        <x:v>5180023</x:v>
      </x:c>
      <x:c r="F16" s="20" t="str"/>
      <x:c r="G16" s="20" t="str"/>
      <x:c r="H16" s="20" t="str"/>
      <x:c r="I16" s="20" t="str"/>
      <x:c r="J16" s="20" t="str"/>
      <x:c r="K16" s="20" t="str">
        <x:v>Perlu Konfirmasi</x:v>
      </x:c>
      <x:c r="L16" s="20" t="str">
        <x:v>Ya</x:v>
      </x:c>
      <x:c r="M16" s="20" t="str">
        <x:v>Sumber: Daftar LO; editable</x:v>
      </x:c>
    </x:row>
    <x:row r="17">
      <x:c r="A17" s="20" t="str">
        <x:v>LO-016</x:v>
      </x:c>
      <x:c r="B17" s="20" t="str">
        <x:v>Petrokimia Gresik</x:v>
      </x:c>
      <x:c r="C17" s="20" t="str">
        <x:v>Komisaris</x:v>
      </x:c>
      <x:c r="D17" s="20" t="str">
        <x:v>Kennico Simuloara Qadry</x:v>
      </x:c>
      <x:c r="E17" s="20" t="str">
        <x:v>5180013</x:v>
      </x:c>
      <x:c r="F17" s="20" t="str"/>
      <x:c r="G17" s="20" t="str"/>
      <x:c r="H17" s="20" t="str"/>
      <x:c r="I17" s="20" t="str"/>
      <x:c r="J17" s="20" t="str"/>
      <x:c r="K17" s="20" t="str">
        <x:v>Perlu Konfirmasi</x:v>
      </x:c>
      <x:c r="L17" s="20" t="str">
        <x:v>Ya</x:v>
      </x:c>
      <x:c r="M17" s="20" t="str">
        <x:v>Sumber: Daftar LO; editable</x:v>
      </x:c>
    </x:row>
    <x:row r="18">
      <x:c r="A18" s="20" t="str">
        <x:v>LO-017</x:v>
      </x:c>
      <x:c r="B18" s="20" t="str">
        <x:v>Petrokimia Gresik</x:v>
      </x:c>
      <x:c r="C18" s="20" t="str">
        <x:v>Para Direksi</x:v>
      </x:c>
      <x:c r="D18" s="20" t="str">
        <x:v>Aulia Moeda Makarim</x:v>
      </x:c>
      <x:c r="E18" s="20" t="str">
        <x:v>5200011</x:v>
      </x:c>
      <x:c r="F18" s="20" t="str"/>
      <x:c r="G18" s="20" t="str"/>
      <x:c r="H18" s="20" t="str"/>
      <x:c r="I18" s="20" t="str"/>
      <x:c r="J18" s="20" t="str"/>
      <x:c r="K18" s="20" t="str">
        <x:v>Perlu Konfirmasi</x:v>
      </x:c>
      <x:c r="L18" s="20" t="str">
        <x:v>Ya</x:v>
      </x:c>
      <x:c r="M18" s="20" t="str">
        <x:v>Sumber: Daftar LO; editable</x:v>
      </x:c>
    </x:row>
    <x:row r="19">
      <x:c r="A19" s="20" t="str">
        <x:v>LO-018</x:v>
      </x:c>
      <x:c r="B19" s="20" t="str">
        <x:v>Pupuk Sriwijaya</x:v>
      </x:c>
      <x:c r="C19" s="20" t="str">
        <x:v>Direktur Utama</x:v>
      </x:c>
      <x:c r="D19" s="20" t="str">
        <x:v>Ikhsanuddin</x:v>
      </x:c>
      <x:c r="E19" s="20" t="str">
        <x:v>5041753</x:v>
      </x:c>
      <x:c r="F19" s="20" t="str"/>
      <x:c r="G19" s="20" t="str"/>
      <x:c r="H19" s="20" t="str"/>
      <x:c r="I19" s="20" t="str"/>
      <x:c r="J19" s="20" t="str"/>
      <x:c r="K19" s="20" t="str">
        <x:v>Perlu Konfirmasi</x:v>
      </x:c>
      <x:c r="L19" s="20" t="str">
        <x:v>Ya</x:v>
      </x:c>
      <x:c r="M19" s="20" t="str">
        <x:v>Sumber: Daftar LO; editable</x:v>
      </x:c>
    </x:row>
    <x:row r="20">
      <x:c r="A20" s="20" t="str">
        <x:v>LO-019</x:v>
      </x:c>
      <x:c r="B20" s="20" t="str">
        <x:v>Pupuk Sriwijaya</x:v>
      </x:c>
      <x:c r="C20" s="20" t="str">
        <x:v>Ketua PIKA</x:v>
      </x:c>
      <x:c r="D20" s="20" t="str">
        <x:v>Fatina Yasmin</x:v>
      </x:c>
      <x:c r="E20" s="20" t="str">
        <x:v>5180068</x:v>
      </x:c>
      <x:c r="F20" s="20" t="str"/>
      <x:c r="G20" s="20" t="str"/>
      <x:c r="H20" s="20" t="str"/>
      <x:c r="I20" s="20" t="str"/>
      <x:c r="J20" s="20" t="str"/>
      <x:c r="K20" s="20" t="str">
        <x:v>Perlu Konfirmasi</x:v>
      </x:c>
      <x:c r="L20" s="20" t="str">
        <x:v>Ya</x:v>
      </x:c>
      <x:c r="M20" s="20" t="str">
        <x:v>Sumber: Daftar LO; editable</x:v>
      </x:c>
    </x:row>
    <x:row r="21">
      <x:c r="A21" s="20" t="str">
        <x:v>LO-020</x:v>
      </x:c>
      <x:c r="B21" s="20" t="str">
        <x:v>Pupuk Sriwijaya</x:v>
      </x:c>
      <x:c r="C21" s="20" t="str">
        <x:v>Komisaris</x:v>
      </x:c>
      <x:c r="D21" s="20" t="str">
        <x:v>Wahyu Hidayat</x:v>
      </x:c>
      <x:c r="E21" s="20" t="str">
        <x:v>5180025</x:v>
      </x:c>
      <x:c r="F21" s="20" t="str"/>
      <x:c r="G21" s="20" t="str"/>
      <x:c r="H21" s="20" t="str"/>
      <x:c r="I21" s="20" t="str"/>
      <x:c r="J21" s="20" t="str"/>
      <x:c r="K21" s="20" t="str">
        <x:v>Perlu Konfirmasi</x:v>
      </x:c>
      <x:c r="L21" s="20" t="str">
        <x:v>Ya</x:v>
      </x:c>
      <x:c r="M21" s="20" t="str">
        <x:v>Sumber: Daftar LO; editable</x:v>
      </x:c>
    </x:row>
    <x:row r="22">
      <x:c r="A22" s="20" t="str">
        <x:v>LO-021</x:v>
      </x:c>
      <x:c r="B22" s="20" t="str">
        <x:v>Pupuk Sriwijaya</x:v>
      </x:c>
      <x:c r="C22" s="20" t="str">
        <x:v>Para Direksi</x:v>
      </x:c>
      <x:c r="D22" s="20" t="str">
        <x:v>Zulfajry Ery Syahputra</x:v>
      </x:c>
      <x:c r="E22" s="20" t="str">
        <x:v>5180050</x:v>
      </x:c>
      <x:c r="F22" s="20" t="str"/>
      <x:c r="G22" s="20" t="str"/>
      <x:c r="H22" s="20" t="str"/>
      <x:c r="I22" s="20" t="str"/>
      <x:c r="J22" s="20" t="str"/>
      <x:c r="K22" s="20" t="str">
        <x:v>Perlu Konfirmasi</x:v>
      </x:c>
      <x:c r="L22" s="20" t="str">
        <x:v>Ya</x:v>
      </x:c>
      <x:c r="M22" s="20" t="str">
        <x:v>Sumber: Daftar LO; editable</x:v>
      </x:c>
    </x:row>
    <x:row r="23">
      <x:c r="A23" s="20" t="str">
        <x:v>LO-022</x:v>
      </x:c>
      <x:c r="B23" s="20" t="str">
        <x:v>Pupuk Kujang</x:v>
      </x:c>
      <x:c r="C23" s="20" t="str">
        <x:v>Direktur Utama</x:v>
      </x:c>
      <x:c r="D23" s="20" t="str">
        <x:v>Yusuf AR</x:v>
      </x:c>
      <x:c r="E23" s="20" t="str">
        <x:v>5041787</x:v>
      </x:c>
      <x:c r="F23" s="20" t="str"/>
      <x:c r="G23" s="20" t="str"/>
      <x:c r="H23" s="20" t="str"/>
      <x:c r="I23" s="20" t="str"/>
      <x:c r="J23" s="20" t="str"/>
      <x:c r="K23" s="20" t="str">
        <x:v>Perlu Konfirmasi</x:v>
      </x:c>
      <x:c r="L23" s="20" t="str">
        <x:v>Ya</x:v>
      </x:c>
      <x:c r="M23" s="20" t="str">
        <x:v>Sumber: Daftar LO; editable</x:v>
      </x:c>
    </x:row>
    <x:row r="24">
      <x:c r="A24" s="20" t="str">
        <x:v>LO-023</x:v>
      </x:c>
      <x:c r="B24" s="20" t="str">
        <x:v>Pupuk Kujang</x:v>
      </x:c>
      <x:c r="C24" s="20" t="str">
        <x:v>Ketua PIKA</x:v>
      </x:c>
      <x:c r="D24" s="20" t="str">
        <x:v>Silvia Mardhania</x:v>
      </x:c>
      <x:c r="E24" s="20" t="str">
        <x:v>5180109</x:v>
      </x:c>
      <x:c r="F24" s="20" t="str"/>
      <x:c r="G24" s="20" t="str"/>
      <x:c r="H24" s="20" t="str"/>
      <x:c r="I24" s="20" t="str"/>
      <x:c r="J24" s="20" t="str"/>
      <x:c r="K24" s="20" t="str">
        <x:v>Perlu Konfirmasi</x:v>
      </x:c>
      <x:c r="L24" s="20" t="str">
        <x:v>Ya</x:v>
      </x:c>
      <x:c r="M24" s="20" t="str">
        <x:v>Sumber: Daftar LO; editable</x:v>
      </x:c>
    </x:row>
    <x:row r="25">
      <x:c r="A25" s="20" t="str">
        <x:v>LO-024</x:v>
      </x:c>
      <x:c r="B25" s="20" t="str">
        <x:v>Pupuk Kujang</x:v>
      </x:c>
      <x:c r="C25" s="20" t="str">
        <x:v>Komisaris</x:v>
      </x:c>
      <x:c r="D25" s="20" t="str">
        <x:v>Fadli Herdiansyah</x:v>
      </x:c>
      <x:c r="E25" s="20" t="str">
        <x:v>5200007</x:v>
      </x:c>
      <x:c r="F25" s="20" t="str"/>
      <x:c r="G25" s="20" t="str"/>
      <x:c r="H25" s="20" t="str"/>
      <x:c r="I25" s="20" t="str"/>
      <x:c r="J25" s="20" t="str"/>
      <x:c r="K25" s="20" t="str">
        <x:v>Perlu Konfirmasi</x:v>
      </x:c>
      <x:c r="L25" s="20" t="str">
        <x:v>Ya</x:v>
      </x:c>
      <x:c r="M25" s="20" t="str">
        <x:v>Sumber: Daftar LO; editable</x:v>
      </x:c>
    </x:row>
    <x:row r="26">
      <x:c r="A26" s="20" t="str">
        <x:v>LO-025</x:v>
      </x:c>
      <x:c r="B26" s="20" t="str">
        <x:v>Pupuk Kujang</x:v>
      </x:c>
      <x:c r="C26" s="20" t="str">
        <x:v>Para Direksi</x:v>
      </x:c>
      <x:c r="D26" s="20" t="str">
        <x:v>Aidil Azhar</x:v>
      </x:c>
      <x:c r="E26" s="20" t="str">
        <x:v>5180120</x:v>
      </x:c>
      <x:c r="F26" s="20" t="str"/>
      <x:c r="G26" s="20" t="str"/>
      <x:c r="H26" s="20" t="str"/>
      <x:c r="I26" s="20" t="str"/>
      <x:c r="J26" s="20" t="str"/>
      <x:c r="K26" s="20" t="str">
        <x:v>Perlu Konfirmasi</x:v>
      </x:c>
      <x:c r="L26" s="20" t="str">
        <x:v>Ya</x:v>
      </x:c>
      <x:c r="M26" s="20" t="str">
        <x:v>Sumber: Daftar LO; editable</x:v>
      </x:c>
    </x:row>
    <x:row r="27">
      <x:c r="A27" s="20" t="str">
        <x:v>LO-026</x:v>
      </x:c>
      <x:c r="B27" s="20" t="str">
        <x:v>Rekind</x:v>
      </x:c>
      <x:c r="C27" s="20" t="str">
        <x:v>Direktur Utama</x:v>
      </x:c>
      <x:c r="D27" s="20" t="str">
        <x:v>Fitriani</x:v>
      </x:c>
      <x:c r="E27" s="20" t="str">
        <x:v>5081872</x:v>
      </x:c>
      <x:c r="F27" s="20" t="str"/>
      <x:c r="G27" s="20" t="str"/>
      <x:c r="H27" s="20" t="str"/>
      <x:c r="I27" s="20" t="str"/>
      <x:c r="J27" s="20" t="str"/>
      <x:c r="K27" s="20" t="str">
        <x:v>Perlu Konfirmasi</x:v>
      </x:c>
      <x:c r="L27" s="20" t="str">
        <x:v>Ya</x:v>
      </x:c>
      <x:c r="M27" s="20" t="str">
        <x:v>Sumber: Daftar LO; editable</x:v>
      </x:c>
    </x:row>
    <x:row r="28">
      <x:c r="A28" s="20" t="str">
        <x:v>LO-027</x:v>
      </x:c>
      <x:c r="B28" s="20" t="str">
        <x:v>Rekind</x:v>
      </x:c>
      <x:c r="C28" s="20" t="str">
        <x:v>Ketua PIKA</x:v>
      </x:c>
      <x:c r="D28" s="20" t="str">
        <x:v>Rifa'atul Mawaddah</x:v>
      </x:c>
      <x:c r="E28" s="20" t="str">
        <x:v>5180077</x:v>
      </x:c>
      <x:c r="F28" s="20" t="str"/>
      <x:c r="G28" s="20" t="str"/>
      <x:c r="H28" s="20" t="str"/>
      <x:c r="I28" s="20" t="str"/>
      <x:c r="J28" s="20" t="str"/>
      <x:c r="K28" s="20" t="str">
        <x:v>Perlu Konfirmasi</x:v>
      </x:c>
      <x:c r="L28" s="20" t="str">
        <x:v>Ya</x:v>
      </x:c>
      <x:c r="M28" s="20" t="str">
        <x:v>Sumber: Daftar LO; editable</x:v>
      </x:c>
    </x:row>
    <x:row r="29">
      <x:c r="A29" s="20" t="str">
        <x:v>LO-028</x:v>
      </x:c>
      <x:c r="B29" s="20" t="str">
        <x:v>Rekind</x:v>
      </x:c>
      <x:c r="C29" s="20" t="str">
        <x:v>Komisaris</x:v>
      </x:c>
      <x:c r="D29" s="20" t="str">
        <x:v>Eko Julianto</x:v>
      </x:c>
      <x:c r="E29" s="20" t="str">
        <x:v>5180113</x:v>
      </x:c>
      <x:c r="F29" s="20" t="str"/>
      <x:c r="G29" s="20" t="str"/>
      <x:c r="H29" s="20" t="str"/>
      <x:c r="I29" s="20" t="str"/>
      <x:c r="J29" s="20" t="str"/>
      <x:c r="K29" s="20" t="str">
        <x:v>Perlu Konfirmasi</x:v>
      </x:c>
      <x:c r="L29" s="20" t="str">
        <x:v>Ya</x:v>
      </x:c>
      <x:c r="M29" s="20" t="str">
        <x:v>Sumber: Daftar LO; editable</x:v>
      </x:c>
    </x:row>
    <x:row r="30">
      <x:c r="A30" s="20" t="str">
        <x:v>LO-029</x:v>
      </x:c>
      <x:c r="B30" s="20" t="str">
        <x:v>Rekind</x:v>
      </x:c>
      <x:c r="C30" s="20" t="str">
        <x:v>Para Direksi</x:v>
      </x:c>
      <x:c r="D30" s="20" t="str">
        <x:v>Akbar Wisesa Wiranata</x:v>
      </x:c>
      <x:c r="E30" s="20" t="str">
        <x:v>5240011</x:v>
      </x:c>
      <x:c r="F30" s="20" t="str"/>
      <x:c r="G30" s="20" t="str"/>
      <x:c r="H30" s="20" t="str"/>
      <x:c r="I30" s="20" t="str"/>
      <x:c r="J30" s="20" t="str"/>
      <x:c r="K30" s="20" t="str">
        <x:v>Perlu Konfirmasi</x:v>
      </x:c>
      <x:c r="L30" s="20" t="str">
        <x:v>Ya</x:v>
      </x:c>
      <x:c r="M30" s="20" t="str">
        <x:v>Sumber: Daftar LO; editable</x:v>
      </x:c>
    </x:row>
    <x:row r="31">
      <x:c r="A31" s="20" t="str">
        <x:v>LO-030</x:v>
      </x:c>
      <x:c r="B31" s="20" t="str">
        <x:v>Pupuk Indonesia Logistik</x:v>
      </x:c>
      <x:c r="C31" s="20" t="str">
        <x:v>Direktur Utama</x:v>
      </x:c>
      <x:c r="D31" s="20" t="str">
        <x:v>Agustria</x:v>
      </x:c>
      <x:c r="E31" s="20" t="str">
        <x:v>5200009</x:v>
      </x:c>
      <x:c r="F31" s="20" t="str"/>
      <x:c r="G31" s="20" t="str"/>
      <x:c r="H31" s="20" t="str"/>
      <x:c r="I31" s="20" t="str"/>
      <x:c r="J31" s="20" t="str"/>
      <x:c r="K31" s="20" t="str">
        <x:v>Perlu Konfirmasi</x:v>
      </x:c>
      <x:c r="L31" s="20" t="str">
        <x:v>Ya</x:v>
      </x:c>
      <x:c r="M31" s="20" t="str">
        <x:v>Sumber: Daftar LO; editable</x:v>
      </x:c>
    </x:row>
    <x:row r="32">
      <x:c r="A32" s="20" t="str">
        <x:v>LO-031</x:v>
      </x:c>
      <x:c r="B32" s="20" t="str">
        <x:v>Pupuk Indonesia Logistik</x:v>
      </x:c>
      <x:c r="C32" s="20" t="str">
        <x:v>Ketua PIKA</x:v>
      </x:c>
      <x:c r="D32" s="20" t="str">
        <x:v>Nanda Puspa Keumala</x:v>
      </x:c>
      <x:c r="E32" s="20" t="str">
        <x:v>5180057</x:v>
      </x:c>
      <x:c r="F32" s="20" t="str"/>
      <x:c r="G32" s="20" t="str"/>
      <x:c r="H32" s="20" t="str"/>
      <x:c r="I32" s="20" t="str"/>
      <x:c r="J32" s="20" t="str"/>
      <x:c r="K32" s="20" t="str">
        <x:v>Perlu Konfirmasi</x:v>
      </x:c>
      <x:c r="L32" s="20" t="str">
        <x:v>Ya</x:v>
      </x:c>
      <x:c r="M32" s="20" t="str">
        <x:v>Sumber: Daftar LO; editable</x:v>
      </x:c>
    </x:row>
    <x:row r="33">
      <x:c r="A33" s="20" t="str">
        <x:v>LO-032</x:v>
      </x:c>
      <x:c r="B33" s="20" t="str">
        <x:v>Pupuk Indonesia Logistik</x:v>
      </x:c>
      <x:c r="C33" s="20" t="str">
        <x:v>Komisaris</x:v>
      </x:c>
      <x:c r="D33" s="20" t="str">
        <x:v>Rahmat Wijaya</x:v>
      </x:c>
      <x:c r="E33" s="20" t="str">
        <x:v>5180092</x:v>
      </x:c>
      <x:c r="F33" s="20" t="str"/>
      <x:c r="G33" s="20" t="str"/>
      <x:c r="H33" s="20" t="str"/>
      <x:c r="I33" s="20" t="str"/>
      <x:c r="J33" s="20" t="str"/>
      <x:c r="K33" s="20" t="str">
        <x:v>Perlu Konfirmasi</x:v>
      </x:c>
      <x:c r="L33" s="20" t="str">
        <x:v>Ya</x:v>
      </x:c>
      <x:c r="M33" s="20" t="str">
        <x:v>Sumber: Daftar LO; editable</x:v>
      </x:c>
    </x:row>
    <x:row r="34">
      <x:c r="A34" s="20" t="str">
        <x:v>LO-033</x:v>
      </x:c>
      <x:c r="B34" s="20" t="str">
        <x:v>Pupuk Indonesia Logistik</x:v>
      </x:c>
      <x:c r="C34" s="20" t="str">
        <x:v>Para Direksi</x:v>
      </x:c>
      <x:c r="D34" s="20" t="str">
        <x:v>Heri Primadona</x:v>
      </x:c>
      <x:c r="E34" s="20" t="str">
        <x:v>5180045</x:v>
      </x:c>
      <x:c r="F34" s="20" t="str"/>
      <x:c r="G34" s="20" t="str"/>
      <x:c r="H34" s="20" t="str"/>
      <x:c r="I34" s="20" t="str"/>
      <x:c r="J34" s="20" t="str"/>
      <x:c r="K34" s="20" t="str">
        <x:v>Perlu Konfirmasi</x:v>
      </x:c>
      <x:c r="L34" s="20" t="str">
        <x:v>Ya</x:v>
      </x:c>
      <x:c r="M34" s="20" t="str">
        <x:v>Sumber: Daftar LO; editable</x:v>
      </x:c>
    </x:row>
    <x:row r="35">
      <x:c r="A35" s="20" t="str">
        <x:v>LO-034</x:v>
      </x:c>
      <x:c r="B35" s="20" t="str">
        <x:v>Pupuk Indonesia Pangan</x:v>
      </x:c>
      <x:c r="C35" s="20" t="str">
        <x:v>Direktur Utama</x:v>
      </x:c>
      <x:c r="D35" s="20" t="str">
        <x:v>Hafizh Daru Teguh Julian</x:v>
      </x:c>
      <x:c r="E35" s="20" t="str">
        <x:v>5200003</x:v>
      </x:c>
      <x:c r="F35" s="20" t="str"/>
      <x:c r="G35" s="20" t="str"/>
      <x:c r="H35" s="20" t="str"/>
      <x:c r="I35" s="20" t="str"/>
      <x:c r="J35" s="20" t="str"/>
      <x:c r="K35" s="20" t="str">
        <x:v>Perlu Konfirmasi</x:v>
      </x:c>
      <x:c r="L35" s="20" t="str">
        <x:v>Ya</x:v>
      </x:c>
      <x:c r="M35" s="20" t="str">
        <x:v>Sumber: Daftar LO; editable</x:v>
      </x:c>
    </x:row>
    <x:row r="36">
      <x:c r="A36" s="20" t="str">
        <x:v>LO-035</x:v>
      </x:c>
      <x:c r="B36" s="20" t="str">
        <x:v>Pupuk Indonesia Pangan</x:v>
      </x:c>
      <x:c r="C36" s="20" t="str">
        <x:v>Ketua PIKA</x:v>
      </x:c>
      <x:c r="D36" s="20" t="str">
        <x:v>Siti Rulia</x:v>
      </x:c>
      <x:c r="E36" s="20" t="str">
        <x:v>5180078</x:v>
      </x:c>
      <x:c r="F36" s="20" t="str"/>
      <x:c r="G36" s="20" t="str"/>
      <x:c r="H36" s="20" t="str"/>
      <x:c r="I36" s="20" t="str"/>
      <x:c r="J36" s="20" t="str"/>
      <x:c r="K36" s="20" t="str">
        <x:v>Perlu Konfirmasi</x:v>
      </x:c>
      <x:c r="L36" s="20" t="str">
        <x:v>Ya</x:v>
      </x:c>
      <x:c r="M36" s="20" t="str">
        <x:v>Sumber: Daftar LO; editable</x:v>
      </x:c>
    </x:row>
    <x:row r="37">
      <x:c r="A37" s="20" t="str">
        <x:v>LO-036</x:v>
      </x:c>
      <x:c r="B37" s="20" t="str">
        <x:v>Pupuk Indonesia Pangan</x:v>
      </x:c>
      <x:c r="C37" s="20" t="str">
        <x:v>Komisaris</x:v>
      </x:c>
      <x:c r="D37" s="20" t="str">
        <x:v>Hendrawan Syahputra</x:v>
      </x:c>
      <x:c r="E37" s="20" t="str">
        <x:v>5180060</x:v>
      </x:c>
      <x:c r="F37" s="20" t="str"/>
      <x:c r="G37" s="20" t="str"/>
      <x:c r="H37" s="20" t="str"/>
      <x:c r="I37" s="20" t="str"/>
      <x:c r="J37" s="20" t="str"/>
      <x:c r="K37" s="20" t="str">
        <x:v>Perlu Konfirmasi</x:v>
      </x:c>
      <x:c r="L37" s="20" t="str">
        <x:v>Ya</x:v>
      </x:c>
      <x:c r="M37" s="20" t="str">
        <x:v>Sumber: Daftar LO; editable</x:v>
      </x:c>
    </x:row>
    <x:row r="38">
      <x:c r="A38" s="20" t="str">
        <x:v>LO-037</x:v>
      </x:c>
      <x:c r="B38" s="20" t="str">
        <x:v>Pupuk Indonesia Pangan</x:v>
      </x:c>
      <x:c r="C38" s="20" t="str">
        <x:v>Para Direksi</x:v>
      </x:c>
      <x:c r="D38" s="20" t="str">
        <x:v>Olya Wijaya</x:v>
      </x:c>
      <x:c r="E38" s="20" t="str">
        <x:v>5180083</x:v>
      </x:c>
      <x:c r="F38" s="20" t="str"/>
      <x:c r="G38" s="20" t="str"/>
      <x:c r="H38" s="20" t="str"/>
      <x:c r="I38" s="20" t="str"/>
      <x:c r="J38" s="20" t="str"/>
      <x:c r="K38" s="20" t="str">
        <x:v>Perlu Konfirmasi</x:v>
      </x:c>
      <x:c r="L38" s="20" t="str">
        <x:v>Ya</x:v>
      </x:c>
      <x:c r="M38" s="20" t="str">
        <x:v>Sumber: Daftar LO; editable</x:v>
      </x:c>
    </x:row>
    <x:row r="39">
      <x:c r="A39" s="20" t="str">
        <x:v>LO-038</x:v>
      </x:c>
      <x:c r="B39" s="20" t="str">
        <x:v>Pupuk Indonesia Niaga</x:v>
      </x:c>
      <x:c r="C39" s="20" t="str">
        <x:v>Direktur Utama</x:v>
      </x:c>
      <x:c r="D39" s="20" t="str">
        <x:v>Ahmad Ghufran</x:v>
      </x:c>
      <x:c r="E39" s="20" t="str">
        <x:v>5180036</x:v>
      </x:c>
      <x:c r="F39" s="20" t="str"/>
      <x:c r="G39" s="20" t="str"/>
      <x:c r="H39" s="20" t="str"/>
      <x:c r="I39" s="20" t="str"/>
      <x:c r="J39" s="20" t="str"/>
      <x:c r="K39" s="20" t="str">
        <x:v>Perlu Konfirmasi</x:v>
      </x:c>
      <x:c r="L39" s="20" t="str">
        <x:v>Ya</x:v>
      </x:c>
      <x:c r="M39" s="20" t="str">
        <x:v>Sumber: Daftar LO; editable</x:v>
      </x:c>
    </x:row>
    <x:row r="40">
      <x:c r="A40" s="20" t="str">
        <x:v>LO-039</x:v>
      </x:c>
      <x:c r="B40" s="20" t="str">
        <x:v>Pupuk Indonesia Niaga</x:v>
      </x:c>
      <x:c r="C40" s="20" t="str">
        <x:v>Ketua PIKA</x:v>
      </x:c>
      <x:c r="D40" s="20" t="str">
        <x:v>Rezky Mastura</x:v>
      </x:c>
      <x:c r="E40" s="20" t="str">
        <x:v>5180039</x:v>
      </x:c>
      <x:c r="F40" s="20" t="str"/>
      <x:c r="G40" s="20" t="str"/>
      <x:c r="H40" s="20" t="str"/>
      <x:c r="I40" s="20" t="str"/>
      <x:c r="J40" s="20" t="str"/>
      <x:c r="K40" s="20" t="str">
        <x:v>Perlu Konfirmasi</x:v>
      </x:c>
      <x:c r="L40" s="20" t="str">
        <x:v>Ya</x:v>
      </x:c>
      <x:c r="M40" s="20" t="str">
        <x:v>Sumber: Daftar LO; editable</x:v>
      </x:c>
    </x:row>
    <x:row r="41">
      <x:c r="A41" s="20" t="str">
        <x:v>LO-040</x:v>
      </x:c>
      <x:c r="B41" s="20" t="str">
        <x:v>Pupuk Indonesia Niaga</x:v>
      </x:c>
      <x:c r="C41" s="20" t="str">
        <x:v>Komisaris</x:v>
      </x:c>
      <x:c r="D41" s="20" t="str">
        <x:v>Ikhfan Syafii</x:v>
      </x:c>
      <x:c r="E41" s="20" t="str">
        <x:v>5200010</x:v>
      </x:c>
      <x:c r="F41" s="20" t="str"/>
      <x:c r="G41" s="20" t="str"/>
      <x:c r="H41" s="20" t="str"/>
      <x:c r="I41" s="20" t="str"/>
      <x:c r="J41" s="20" t="str"/>
      <x:c r="K41" s="20" t="str">
        <x:v>Perlu Konfirmasi</x:v>
      </x:c>
      <x:c r="L41" s="20" t="str">
        <x:v>Ya</x:v>
      </x:c>
      <x:c r="M41" s="20" t="str">
        <x:v>Sumber: Daftar LO; editable</x:v>
      </x:c>
    </x:row>
    <x:row r="42">
      <x:c r="A42" s="20" t="str">
        <x:v>LO-041</x:v>
      </x:c>
      <x:c r="B42" s="20" t="str">
        <x:v>Pupuk Indonesia Niaga</x:v>
      </x:c>
      <x:c r="C42" s="20" t="str">
        <x:v>Para Direksi</x:v>
      </x:c>
      <x:c r="D42" s="20" t="str">
        <x:v>Sujuddin Wahyu</x:v>
      </x:c>
      <x:c r="E42" s="20" t="str">
        <x:v>5180059</x:v>
      </x:c>
      <x:c r="F42" s="20" t="str"/>
      <x:c r="G42" s="20" t="str"/>
      <x:c r="H42" s="20" t="str"/>
      <x:c r="I42" s="20" t="str"/>
      <x:c r="J42" s="20" t="str"/>
      <x:c r="K42" s="20" t="str">
        <x:v>Perlu Konfirmasi</x:v>
      </x:c>
      <x:c r="L42" s="20" t="str">
        <x:v>Ya</x:v>
      </x:c>
      <x:c r="M42" s="20" t="str">
        <x:v>Sumber: Daftar LO; editable</x:v>
      </x:c>
    </x:row>
    <x:row r="43">
      <x:c r="A43" s="20" t="str">
        <x:v>LO-042</x:v>
      </x:c>
      <x:c r="B43" s="20" t="str">
        <x:v>Komisaris PIM</x:v>
      </x:c>
      <x:c r="C43" s="20" t="str">
        <x:v>Para Komisaris</x:v>
      </x:c>
      <x:c r="D43" s="20" t="str">
        <x:v>Muzani</x:v>
      </x:c>
      <x:c r="E43" s="20" t="str">
        <x:v>5180104</x:v>
      </x:c>
      <x:c r="F43" s="20" t="str"/>
      <x:c r="G43" s="20" t="str"/>
      <x:c r="H43" s="20" t="str"/>
      <x:c r="I43" s="20" t="str"/>
      <x:c r="J43" s="20" t="str"/>
      <x:c r="K43" s="20" t="str">
        <x:v>Perlu Konfirmasi</x:v>
      </x:c>
      <x:c r="L43" s="20" t="str">
        <x:v>Ya</x:v>
      </x:c>
      <x:c r="M43" s="20" t="str">
        <x:v>Sumber: Daftar LO; editable</x:v>
      </x:c>
    </x:row>
    <x:row r="44">
      <x:c r="A44" s="20" t="str">
        <x:v>LO-043</x:v>
      </x:c>
      <x:c r="B44" s="20" t="str">
        <x:v>Komisaris PIM</x:v>
      </x:c>
      <x:c r="C44" s="20" t="str">
        <x:v>Para Komisaris</x:v>
      </x:c>
      <x:c r="D44" s="20" t="str">
        <x:v>Rizki Azhari Ramanda</x:v>
      </x:c>
      <x:c r="E44" s="20" t="str">
        <x:v>5091967</x:v>
      </x:c>
      <x:c r="F44" s="20" t="str"/>
      <x:c r="G44" s="20" t="str"/>
      <x:c r="H44" s="20" t="str"/>
      <x:c r="I44" s="20" t="str"/>
      <x:c r="J44" s="20" t="str">
        <x:v>Medan</x:v>
      </x:c>
      <x:c r="K44" s="20" t="str">
        <x:v>Perlu Konfirmasi</x:v>
      </x:c>
      <x:c r="L44" s="20" t="str">
        <x:v>Ya</x:v>
      </x:c>
      <x:c r="M44" s="20" t="str">
        <x:v>Sumber: Daftar LO; editable</x:v>
      </x:c>
    </x:row>
    <x:row r="45">
      <x:c r="A45" s="20" t="str">
        <x:v>LO-044</x:v>
      </x:c>
      <x:c r="B45" s="20" t="str">
        <x:v>Kementerian Pertanian RI</x:v>
      </x:c>
      <x:c r="C45" s="20" t="str">
        <x:v>Wamen Pertanian RI</x:v>
      </x:c>
      <x:c r="D45" s="20" t="str">
        <x:v>Suryadi Idris</x:v>
      </x:c>
      <x:c r="E45" s="20" t="str">
        <x:v>5121987</x:v>
      </x:c>
      <x:c r="F45" s="20" t="str"/>
      <x:c r="G45" s="20" t="str"/>
      <x:c r="H45" s="20" t="str"/>
      <x:c r="I45" s="20" t="str"/>
      <x:c r="J45" s="20" t="str"/>
      <x:c r="K45" s="20" t="str">
        <x:v>Perlu Konfirmasi</x:v>
      </x:c>
      <x:c r="L45" s="20" t="str">
        <x:v>Ya</x:v>
      </x:c>
      <x:c r="M45" s="20" t="str">
        <x:v>Sumber: Daftar LO; editable</x:v>
      </x:c>
    </x:row>
    <x:row r="46">
      <x:c r="A46" s="20" t="str">
        <x:v>LO-045</x:v>
      </x:c>
      <x:c r="B46" s="20" t="str">
        <x:v>Kementerian Pertanian RI</x:v>
      </x:c>
      <x:c r="C46" s="20" t="str">
        <x:v>Wamen Pertanian RI</x:v>
      </x:c>
      <x:c r="D46" s="20" t="str">
        <x:v>Dedy Ikhsan</x:v>
      </x:c>
      <x:c r="E46" s="20" t="str">
        <x:v>5091886</x:v>
      </x:c>
      <x:c r="F46" s="20" t="str"/>
      <x:c r="G46" s="20" t="str"/>
      <x:c r="H46" s="20" t="str"/>
      <x:c r="I46" s="20" t="str"/>
      <x:c r="J46" s="20" t="str"/>
      <x:c r="K46" s="20" t="str">
        <x:v>Perlu Konfirmasi</x:v>
      </x:c>
      <x:c r="L46" s="20" t="str">
        <x:v>Ya</x:v>
      </x:c>
      <x:c r="M46" s="20" t="str">
        <x:v>Sumber: Daftar LO; editable</x:v>
      </x:c>
    </x:row>
    <x:row r="47">
      <x:c r="A47" s="20" t="str">
        <x:v>LO-046</x:v>
      </x:c>
      <x:c r="B47" s="20" t="str">
        <x:v>Kementerian Pertanian RI</x:v>
      </x:c>
      <x:c r="C47" s="20" t="str">
        <x:v>Wamen Pertanian RI</x:v>
      </x:c>
      <x:c r="D47" s="20" t="str">
        <x:v>Rizki Putra Phonna</x:v>
      </x:c>
      <x:c r="E47" s="20" t="str">
        <x:v>5122017</x:v>
      </x:c>
      <x:c r="F47" s="20" t="str"/>
      <x:c r="G47" s="20" t="str"/>
      <x:c r="H47" s="20" t="str"/>
      <x:c r="I47" s="20" t="str"/>
      <x:c r="J47" s="20" t="str">
        <x:v>Medan</x:v>
      </x:c>
      <x:c r="K47" s="20" t="str">
        <x:v>Perlu Konfirmasi</x:v>
      </x:c>
      <x:c r="L47" s="20" t="str">
        <x:v>Ya</x:v>
      </x:c>
      <x:c r="M47" s="20" t="str">
        <x:v>Sumber: Daftar LO; editable</x:v>
      </x:c>
    </x:row>
    <x:row r="48">
      <x:c r="A48" s="20" t="str">
        <x:v>LO-047</x:v>
      </x:c>
      <x:c r="B48" s="20" t="str">
        <x:v>Danantara</x:v>
      </x:c>
      <x:c r="C48" s="20" t="str">
        <x:v>Pimpinan DAM</x:v>
      </x:c>
      <x:c r="D48" s="20" t="str">
        <x:v>Safwat Ardy</x:v>
      </x:c>
      <x:c r="E48" s="20" t="str">
        <x:v>5121980</x:v>
      </x:c>
      <x:c r="F48" s="20" t="str"/>
      <x:c r="G48" s="20" t="str"/>
      <x:c r="H48" s="20" t="str"/>
      <x:c r="I48" s="20" t="str"/>
      <x:c r="J48" s="20" t="str"/>
      <x:c r="K48" s="20" t="str">
        <x:v>Perlu Konfirmasi</x:v>
      </x:c>
      <x:c r="L48" s="20" t="str">
        <x:v>Ya</x:v>
      </x:c>
      <x:c r="M48" s="20" t="str">
        <x:v>Sumber: Daftar LO; editable</x:v>
      </x:c>
    </x:row>
    <x:row r="49">
      <x:c r="A49" s="20" t="str">
        <x:v>LO-048</x:v>
      </x:c>
      <x:c r="B49" s="20" t="str">
        <x:v>Danantara</x:v>
      </x:c>
      <x:c r="C49" s="20" t="str">
        <x:v>Pimpinan DAM</x:v>
      </x:c>
      <x:c r="D49" s="20" t="str">
        <x:v>M. Sufi</x:v>
      </x:c>
      <x:c r="E49" s="20" t="str">
        <x:v>5091966</x:v>
      </x:c>
      <x:c r="F49" s="20" t="str"/>
      <x:c r="G49" s="20" t="str"/>
      <x:c r="H49" s="20" t="str"/>
      <x:c r="I49" s="20" t="str"/>
      <x:c r="J49" s="20" t="str">
        <x:v>Medan</x:v>
      </x:c>
      <x:c r="K49" s="20" t="str">
        <x:v>Perlu Konfirmasi</x:v>
      </x:c>
      <x:c r="L49" s="20" t="str">
        <x:v>Ya</x:v>
      </x:c>
      <x:c r="M49" s="20" t="str">
        <x:v>Sumber: Daftar LO; editable</x:v>
      </x:c>
    </x:row>
    <x:row r="50">
      <x:c r="A50" s="20" t="str">
        <x:v>LO-049</x:v>
      </x:c>
      <x:c r="B50" s="20" t="str">
        <x:v>BP BUMN</x:v>
      </x:c>
      <x:c r="C50" s="20" t="str">
        <x:v>Pimpinan BP BUMN</x:v>
      </x:c>
      <x:c r="D50" s="20" t="str">
        <x:v>Hushaini Hasan</x:v>
      </x:c>
      <x:c r="E50" s="20" t="str">
        <x:v>5122006</x:v>
      </x:c>
      <x:c r="F50" s="20" t="str"/>
      <x:c r="G50" s="20" t="str"/>
      <x:c r="H50" s="20" t="str"/>
      <x:c r="I50" s="20" t="str"/>
      <x:c r="J50" s="20" t="str"/>
      <x:c r="K50" s="20" t="str">
        <x:v>Perlu Konfirmasi</x:v>
      </x:c>
      <x:c r="L50" s="20" t="str">
        <x:v>Ya</x:v>
      </x:c>
      <x:c r="M50" s="20" t="str">
        <x:v>Sumber: Daftar LO; editable</x:v>
      </x:c>
    </x:row>
    <x:row r="51">
      <x:c r="A51" s="20" t="str">
        <x:v>LO-050</x:v>
      </x:c>
      <x:c r="B51" s="20" t="str">
        <x:v>BP BUMN</x:v>
      </x:c>
      <x:c r="C51" s="20" t="str">
        <x:v>Pimpinan BP BUMN</x:v>
      </x:c>
      <x:c r="D51" s="20" t="str">
        <x:v>Herik</x:v>
      </x:c>
      <x:c r="E51" s="20" t="str">
        <x:v>5091897</x:v>
      </x:c>
      <x:c r="F51" s="20" t="str"/>
      <x:c r="G51" s="20" t="str"/>
      <x:c r="H51" s="20" t="str"/>
      <x:c r="I51" s="20" t="str"/>
      <x:c r="J51" s="20" t="str">
        <x:v>Medan</x:v>
      </x:c>
      <x:c r="K51" s="20" t="str">
        <x:v>Perlu Konfirmasi</x:v>
      </x:c>
      <x:c r="L51" s="20" t="str">
        <x:v>Ya</x:v>
      </x:c>
      <x:c r="M51" s="20" t="str">
        <x:v>Sumber: Daftar LO; editable</x:v>
      </x:c>
    </x:row>
    <x:row r="52">
      <x:c r="A52" s="20" t="str">
        <x:v>LO-051</x:v>
      </x:c>
      <x:c r="B52" s="20" t="str">
        <x:v>Lembaga Negara</x:v>
      </x:c>
      <x:c r="C52" s="20" t="str">
        <x:v>Anggota Dewan Energi Nasional</x:v>
      </x:c>
      <x:c r="D52" s="20" t="str">
        <x:v>Yusrizal</x:v>
      </x:c>
      <x:c r="E52" s="20" t="str">
        <x:v>5122009</x:v>
      </x:c>
      <x:c r="F52" s="20" t="str"/>
      <x:c r="G52" s="20" t="str"/>
      <x:c r="H52" s="20" t="str"/>
      <x:c r="I52" s="20" t="str"/>
      <x:c r="J52" s="20" t="str"/>
      <x:c r="K52" s="20" t="str">
        <x:v>Perlu Konfirmasi</x:v>
      </x:c>
      <x:c r="L52" s="20" t="str">
        <x:v>Ya</x:v>
      </x:c>
      <x:c r="M52" s="20" t="str">
        <x:v>Sumber: Daftar LO; editable</x:v>
      </x:c>
    </x:row>
    <x:row r="53">
      <x:c r="A53" s="20" t="str">
        <x:v>LO-052</x:v>
      </x:c>
      <x:c r="B53" s="20" t="str">
        <x:v>Vibravision</x:v>
      </x:c>
      <x:c r="C53" s="20" t="str">
        <x:v>Chief Instructor</x:v>
      </x:c>
      <x:c r="D53" s="20" t="str">
        <x:v>Ferdiyansyah</x:v>
      </x:c>
      <x:c r="E53" s="20" t="str">
        <x:v>5121997</x:v>
      </x:c>
      <x:c r="F53" s="20" t="str"/>
      <x:c r="G53" s="20" t="str"/>
      <x:c r="H53" s="20" t="str"/>
      <x:c r="I53" s="20" t="str"/>
      <x:c r="J53" s="20" t="str"/>
      <x:c r="K53" s="20" t="str">
        <x:v>Perlu Konfirmasi</x:v>
      </x:c>
      <x:c r="L53" s="20" t="str">
        <x:v>Ya</x:v>
      </x:c>
      <x:c r="M53" s="20" t="str">
        <x:v>Sumber: Daftar LO; editable</x:v>
      </x:c>
    </x:row>
    <x:row r="54">
      <x:c r="A54" s="20" t="str">
        <x:v>LO-053</x:v>
      </x:c>
      <x:c r="B54" s="20" t="str">
        <x:v>Bloomberg NEF</x:v>
      </x:c>
      <x:c r="C54" s="20" t="str">
        <x:v>Global Head of Strategy</x:v>
      </x:c>
      <x:c r="D54" s="20" t="str">
        <x:v>Jimmy Fauzan Satria</x:v>
      </x:c>
      <x:c r="E54" s="20" t="str">
        <x:v>5121995</x:v>
      </x:c>
      <x:c r="F54" s="20" t="str"/>
      <x:c r="G54" s="20" t="str"/>
      <x:c r="H54" s="20" t="str"/>
      <x:c r="I54" s="20" t="str"/>
      <x:c r="J54" s="20" t="str"/>
      <x:c r="K54" s="20" t="str">
        <x:v>Perlu Konfirmasi</x:v>
      </x:c>
      <x:c r="L54" s="20" t="str">
        <x:v>Ya</x:v>
      </x:c>
      <x:c r="M54" s="20" t="str">
        <x:v>Sumber: Daftar LO; editable</x:v>
      </x:c>
    </x:row>
    <x:row r="55">
      <x:c r="A55" s="20" t="str">
        <x:v>LO-054</x:v>
      </x:c>
      <x:c r="B55" s="20" t="str">
        <x:v>Komisaris PI etc</x:v>
      </x:c>
      <x:c r="C55" s="20" t="str">
        <x:v>Pendamping</x:v>
      </x:c>
      <x:c r="D55" s="20" t="str">
        <x:v>Athaillah</x:v>
      </x:c>
      <x:c r="E55" s="20" t="str">
        <x:v>5122016</x:v>
      </x:c>
      <x:c r="F55" s="20" t="str"/>
      <x:c r="G55" s="20" t="str"/>
      <x:c r="H55" s="20" t="str"/>
      <x:c r="I55" s="20" t="str"/>
      <x:c r="J55" s="20" t="str"/>
      <x:c r="K55" s="20" t="str">
        <x:v>Perlu Konfirmasi</x:v>
      </x:c>
      <x:c r="L55" s="20" t="str">
        <x:v>Ya</x:v>
      </x:c>
      <x:c r="M55" s="20" t="str">
        <x:v>Sumber: Daftar LO; editable</x:v>
      </x:c>
    </x:row>
  </x:sheetData>
  <x:dataValidations count="2">
    <x:dataValidation type="list" sqref="K2:K300">
      <x:formula1>"Referensi,Perlu Konfirmasi,Confirmed,Backup Assigned,Inactive"</x:formula1>
    </x:dataValidation>
    <x:dataValidation type="list" sqref="L2:L3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758a4aea2d40a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2" hidden="0" customWidth="1"/>
    <x:col min="4" max="4" width="18" hidden="0" customWidth="1"/>
    <x:col min="5" max="5" width="26" hidden="0" customWidth="1"/>
    <x:col min="6" max="6" width="16" hidden="0" customWidth="1"/>
    <x:col min="7" max="7" width="10" hidden="0" customWidth="1"/>
    <x:col min="8" max="8" width="48" hidden="0" customWidth="1"/>
  </x:cols>
  <x:sheetData>
    <x:row r="1" ht="30" customHeight="1">
      <x:c r="A1" s="14" t="str">
        <x:v>Committee ID</x:v>
      </x:c>
      <x:c r="B1" s="14" t="str">
        <x:v>Program</x:v>
      </x:c>
      <x:c r="C1" s="14" t="str">
        <x:v>Bidang</x:v>
      </x:c>
      <x:c r="D1" s="14" t="str">
        <x:v>Role</x:v>
      </x:c>
      <x:c r="E1" s="14" t="str">
        <x:v>Name</x:v>
      </x:c>
      <x:c r="F1" s="14" t="str">
        <x:v>Employee No.</x:v>
      </x:c>
      <x:c r="G1" s="14" t="str">
        <x:v>Active?</x:v>
      </x:c>
      <x:c r="H1" s="14" t="str">
        <x:v>Notes</x:v>
      </x:c>
    </x:row>
    <x:row r="2">
      <x:c r="A2" s="20" t="str">
        <x:v>COM-001</x:v>
      </x:c>
      <x:c r="B2" s="20" t="str">
        <x:v>Panitia Utama</x:v>
      </x:c>
      <x:c r="C2" s="20" t="str">
        <x:v>Penanggung Jawab</x:v>
      </x:c>
      <x:c r="D2" s="20" t="str">
        <x:v>Penanggung Jawab</x:v>
      </x:c>
      <x:c r="E2" s="20" t="str">
        <x:v>Direktur Keuangan &amp; Umum</x:v>
      </x:c>
      <x:c r="F2" s="20" t="str"/>
      <x:c r="G2" s="20" t="str">
        <x:v>Ya</x:v>
      </x:c>
      <x:c r="H2" s="20" t="str">
        <x:v>Referensi MD; editable dan perlu konfirmasi</x:v>
      </x:c>
    </x:row>
    <x:row r="3">
      <x:c r="A3" s="20" t="str">
        <x:v>COM-002</x:v>
      </x:c>
      <x:c r="B3" s="20" t="str">
        <x:v>Panitia Utama</x:v>
      </x:c>
      <x:c r="C3" s="20" t="str">
        <x:v>Steering Committee</x:v>
      </x:c>
      <x:c r="D3" s="20" t="str">
        <x:v>Anggota</x:v>
      </x:c>
      <x:c r="E3" s="20" t="str">
        <x:v>Sekretaris Perusahaan</x:v>
      </x:c>
      <x:c r="F3" s="20" t="str"/>
      <x:c r="G3" s="20" t="str">
        <x:v>Ya</x:v>
      </x:c>
      <x:c r="H3" s="20" t="str">
        <x:v>Referensi MD; editable dan perlu konfirmasi</x:v>
      </x:c>
    </x:row>
    <x:row r="4">
      <x:c r="A4" s="20" t="str">
        <x:v>COM-003</x:v>
      </x:c>
      <x:c r="B4" s="20" t="str">
        <x:v>Panitia Utama</x:v>
      </x:c>
      <x:c r="C4" s="20" t="str">
        <x:v>Steering Committee</x:v>
      </x:c>
      <x:c r="D4" s="20" t="str">
        <x:v>Anggota</x:v>
      </x:c>
      <x:c r="E4" s="20" t="str">
        <x:v>SVP Manajemen Keuangan &amp; Mitra Bisnis</x:v>
      </x:c>
      <x:c r="F4" s="20" t="str"/>
      <x:c r="G4" s="20" t="str">
        <x:v>Ya</x:v>
      </x:c>
      <x:c r="H4" s="20" t="str">
        <x:v>Referensi MD; editable dan perlu konfirmasi</x:v>
      </x:c>
    </x:row>
    <x:row r="5">
      <x:c r="A5" s="20" t="str">
        <x:v>COM-004</x:v>
      </x:c>
      <x:c r="B5" s="20" t="str">
        <x:v>Panitia Utama</x:v>
      </x:c>
      <x:c r="C5" s="20" t="str">
        <x:v>Steering Committee</x:v>
      </x:c>
      <x:c r="D5" s="20" t="str">
        <x:v>Anggota</x:v>
      </x:c>
      <x:c r="E5" s="20" t="str">
        <x:v>SVP Manajemen Logistik &amp; Umum</x:v>
      </x:c>
      <x:c r="F5" s="20" t="str"/>
      <x:c r="G5" s="20" t="str">
        <x:v>Ya</x:v>
      </x:c>
      <x:c r="H5" s="20" t="str">
        <x:v>Referensi MD; editable dan perlu konfirmasi</x:v>
      </x:c>
    </x:row>
    <x:row r="6">
      <x:c r="A6" s="20" t="str">
        <x:v>COM-005</x:v>
      </x:c>
      <x:c r="B6" s="20" t="str">
        <x:v>Panitia Utama</x:v>
      </x:c>
      <x:c r="C6" s="20" t="str">
        <x:v>Steering Committee</x:v>
      </x:c>
      <x:c r="D6" s="20" t="str">
        <x:v>Anggota</x:v>
      </x:c>
      <x:c r="E6" s="20" t="str">
        <x:v>SVP Operasi</x:v>
      </x:c>
      <x:c r="F6" s="20" t="str"/>
      <x:c r="G6" s="20" t="str">
        <x:v>Ya</x:v>
      </x:c>
      <x:c r="H6" s="20" t="str">
        <x:v>Referensi MD; editable dan perlu konfirmasi</x:v>
      </x:c>
    </x:row>
    <x:row r="7">
      <x:c r="A7" s="20" t="str">
        <x:v>COM-006</x:v>
      </x:c>
      <x:c r="B7" s="20" t="str">
        <x:v>Panitia Utama</x:v>
      </x:c>
      <x:c r="C7" s="20" t="str">
        <x:v>Panitia Inti</x:v>
      </x:c>
      <x:c r="D7" s="20" t="str">
        <x:v>Ketua</x:v>
      </x:c>
      <x:c r="E7" s="20" t="str">
        <x:v>Heri Afriadi Aka</x:v>
      </x:c>
      <x:c r="F7" s="20" t="str">
        <x:v>5121982</x:v>
      </x:c>
      <x:c r="G7" s="20" t="str">
        <x:v>Ya</x:v>
      </x:c>
      <x:c r="H7" s="20" t="str">
        <x:v>Referensi MD; editable dan perlu konfirmasi</x:v>
      </x:c>
    </x:row>
    <x:row r="8">
      <x:c r="A8" s="20" t="str">
        <x:v>COM-007</x:v>
      </x:c>
      <x:c r="B8" s="20" t="str">
        <x:v>Panitia Utama</x:v>
      </x:c>
      <x:c r="C8" s="20" t="str">
        <x:v>Panitia Inti</x:v>
      </x:c>
      <x:c r="D8" s="20" t="str">
        <x:v>Wakil Ketua</x:v>
      </x:c>
      <x:c r="E8" s="20" t="str">
        <x:v>Safwat Ardy</x:v>
      </x:c>
      <x:c r="F8" s="20" t="str">
        <x:v>5121980</x:v>
      </x:c>
      <x:c r="G8" s="20" t="str">
        <x:v>Ya</x:v>
      </x:c>
      <x:c r="H8" s="20" t="str">
        <x:v>Referensi MD; editable dan perlu konfirmasi</x:v>
      </x:c>
    </x:row>
    <x:row r="9">
      <x:c r="A9" s="20" t="str">
        <x:v>COM-008</x:v>
      </x:c>
      <x:c r="B9" s="20" t="str">
        <x:v>Panitia Utama</x:v>
      </x:c>
      <x:c r="C9" s="20" t="str">
        <x:v>Panitia Inti</x:v>
      </x:c>
      <x:c r="D9" s="20" t="str">
        <x:v>Sekretaris</x:v>
      </x:c>
      <x:c r="E9" s="20" t="str">
        <x:v>Osman M Saftari</x:v>
      </x:c>
      <x:c r="F9" s="20" t="str">
        <x:v>5180012</x:v>
      </x:c>
      <x:c r="G9" s="20" t="str">
        <x:v>Ya</x:v>
      </x:c>
      <x:c r="H9" s="20" t="str">
        <x:v>Referensi MD; editable dan perlu konfirmasi</x:v>
      </x:c>
    </x:row>
    <x:row r="10">
      <x:c r="A10" s="20" t="str">
        <x:v>COM-009</x:v>
      </x:c>
      <x:c r="B10" s="20" t="str">
        <x:v>Panitia Utama</x:v>
      </x:c>
      <x:c r="C10" s="20" t="str">
        <x:v>Panitia Inti</x:v>
      </x:c>
      <x:c r="D10" s="20" t="str">
        <x:v>Bendahara</x:v>
      </x:c>
      <x:c r="E10" s="20" t="str">
        <x:v>Noviana Putri</x:v>
      </x:c>
      <x:c r="F10" s="20" t="str">
        <x:v>5180103</x:v>
      </x:c>
      <x:c r="G10" s="20" t="str">
        <x:v>Ya</x:v>
      </x:c>
      <x:c r="H10" s="20" t="str">
        <x:v>Referensi MD; editable dan perlu konfirmasi</x:v>
      </x:c>
    </x:row>
    <x:row r="11">
      <x:c r="A11" s="20" t="str">
        <x:v>COM-010</x:v>
      </x:c>
      <x:c r="B11" s="20" t="str">
        <x:v>Panitia Utama</x:v>
      </x:c>
      <x:c r="C11" s="20" t="str">
        <x:v>Panitia Inti</x:v>
      </x:c>
      <x:c r="D11" s="20" t="str">
        <x:v>Bendahara</x:v>
      </x:c>
      <x:c r="E11" s="20" t="str">
        <x:v>Marlinawati</x:v>
      </x:c>
      <x:c r="F11" s="20" t="str">
        <x:v>5122028</x:v>
      </x:c>
      <x:c r="G11" s="20" t="str">
        <x:v>Ya</x:v>
      </x:c>
      <x:c r="H11" s="20" t="str">
        <x:v>Referensi MD; editable dan perlu konfirmasi</x:v>
      </x:c>
    </x:row>
    <x:row r="12">
      <x:c r="A12" s="20" t="str">
        <x:v>COM-011</x:v>
      </x:c>
      <x:c r="B12" s="20" t="str">
        <x:v>Kegiatan HUT</x:v>
      </x:c>
      <x:c r="C12" s="20" t="str">
        <x:v>Pimpinan</x:v>
      </x:c>
      <x:c r="D12" s="20" t="str">
        <x:v>Ketua</x:v>
      </x:c>
      <x:c r="E12" s="20" t="str">
        <x:v>Nanda Azmi</x:v>
      </x:c>
      <x:c r="F12" s="20" t="str">
        <x:v>5122022</x:v>
      </x:c>
      <x:c r="G12" s="20" t="str">
        <x:v>Ya</x:v>
      </x:c>
      <x:c r="H12" s="20" t="str">
        <x:v>Referensi MD; editable dan perlu konfirmasi</x:v>
      </x:c>
    </x:row>
    <x:row r="13">
      <x:c r="A13" s="20" t="str">
        <x:v>COM-012</x:v>
      </x:c>
      <x:c r="B13" s="20" t="str">
        <x:v>Kegiatan HUT</x:v>
      </x:c>
      <x:c r="C13" s="20" t="str">
        <x:v>Pimpinan</x:v>
      </x:c>
      <x:c r="D13" s="20" t="str">
        <x:v>Wakil Ketua</x:v>
      </x:c>
      <x:c r="E13" s="20" t="str">
        <x:v>Dian Pratama Putra</x:v>
      </x:c>
      <x:c r="F13" s="20" t="str">
        <x:v>5180037</x:v>
      </x:c>
      <x:c r="G13" s="20" t="str">
        <x:v>Ya</x:v>
      </x:c>
      <x:c r="H13" s="20" t="str">
        <x:v>Referensi MD; editable dan perlu konfirmasi</x:v>
      </x:c>
    </x:row>
    <x:row r="14">
      <x:c r="A14" s="20" t="str">
        <x:v>COM-013</x:v>
      </x:c>
      <x:c r="B14" s="20" t="str">
        <x:v>Kegiatan HUT</x:v>
      </x:c>
      <x:c r="C14" s="20" t="str">
        <x:v>Koord. Sepak Bola</x:v>
      </x:c>
      <x:c r="D14" s="20" t="str">
        <x:v>Koordinator</x:v>
      </x:c>
      <x:c r="E14" s="20" t="str">
        <x:v>Ajarni</x:v>
      </x:c>
      <x:c r="F14" s="20" t="str">
        <x:v>5041683</x:v>
      </x:c>
      <x:c r="G14" s="20" t="str">
        <x:v>Ya</x:v>
      </x:c>
      <x:c r="H14" s="20" t="str">
        <x:v>Referensi MD; editable dan perlu konfirmasi</x:v>
      </x:c>
    </x:row>
    <x:row r="15">
      <x:c r="A15" s="20" t="str">
        <x:v>COM-014</x:v>
      </x:c>
      <x:c r="B15" s="20" t="str">
        <x:v>Kegiatan HUT</x:v>
      </x:c>
      <x:c r="C15" s="20" t="str">
        <x:v>Koord. Sepak Bola</x:v>
      </x:c>
      <x:c r="D15" s="20" t="str">
        <x:v>Anggota</x:v>
      </x:c>
      <x:c r="E15" s="20" t="str">
        <x:v>Feryza</x:v>
      </x:c>
      <x:c r="F15" s="20" t="str">
        <x:v>5122065</x:v>
      </x:c>
      <x:c r="G15" s="20" t="str">
        <x:v>Ya</x:v>
      </x:c>
      <x:c r="H15" s="20" t="str">
        <x:v>Referensi MD; editable dan perlu konfirmasi</x:v>
      </x:c>
    </x:row>
    <x:row r="16">
      <x:c r="A16" s="20" t="str">
        <x:v>COM-015</x:v>
      </x:c>
      <x:c r="B16" s="20" t="str">
        <x:v>Kegiatan HUT</x:v>
      </x:c>
      <x:c r="C16" s="20" t="str">
        <x:v>Koord. Sepak Bola</x:v>
      </x:c>
      <x:c r="D16" s="20" t="str">
        <x:v>Anggota</x:v>
      </x:c>
      <x:c r="E16" s="20" t="str">
        <x:v>Zeki Iqbal</x:v>
      </x:c>
      <x:c r="F16" s="20" t="str">
        <x:v>5122056</x:v>
      </x:c>
      <x:c r="G16" s="20" t="str">
        <x:v>Ya</x:v>
      </x:c>
      <x:c r="H16" s="20" t="str">
        <x:v>Referensi MD; editable dan perlu konfirmasi</x:v>
      </x:c>
    </x:row>
    <x:row r="17">
      <x:c r="A17" s="20" t="str">
        <x:v>COM-016</x:v>
      </x:c>
      <x:c r="B17" s="20" t="str">
        <x:v>Kegiatan HUT</x:v>
      </x:c>
      <x:c r="C17" s="20" t="str">
        <x:v>Upacara &amp; Keamanan</x:v>
      </x:c>
      <x:c r="D17" s="20" t="str">
        <x:v>Ketua Bidang</x:v>
      </x:c>
      <x:c r="E17" s="20" t="str">
        <x:v>Hasanuddin</x:v>
      </x:c>
      <x:c r="F17" s="20" t="str">
        <x:v>5091946</x:v>
      </x:c>
      <x:c r="G17" s="20" t="str">
        <x:v>Ya</x:v>
      </x:c>
      <x:c r="H17" s="20" t="str">
        <x:v>Referensi MD; editable dan perlu konfirmasi</x:v>
      </x:c>
    </x:row>
    <x:row r="18">
      <x:c r="A18" s="20" t="str">
        <x:v>COM-017</x:v>
      </x:c>
      <x:c r="B18" s="20" t="str">
        <x:v>Kegiatan HUT</x:v>
      </x:c>
      <x:c r="C18" s="20" t="str">
        <x:v>Upacara &amp; Keamanan</x:v>
      </x:c>
      <x:c r="D18" s="20" t="str">
        <x:v>Anggota</x:v>
      </x:c>
      <x:c r="E18" s="20" t="str">
        <x:v>Andi Saputra</x:v>
      </x:c>
      <x:c r="F18" s="20" t="str">
        <x:v>5091935</x:v>
      </x:c>
      <x:c r="G18" s="20" t="str">
        <x:v>Ya</x:v>
      </x:c>
      <x:c r="H18" s="20" t="str">
        <x:v>Referensi MD; editable dan perlu konfirmasi</x:v>
      </x:c>
    </x:row>
    <x:row r="19">
      <x:c r="A19" s="20" t="str">
        <x:v>COM-018</x:v>
      </x:c>
      <x:c r="B19" s="20" t="str">
        <x:v>Kegiatan HUT</x:v>
      </x:c>
      <x:c r="C19" s="20" t="str">
        <x:v>Upacara &amp; Keamanan</x:v>
      </x:c>
      <x:c r="D19" s="20" t="str">
        <x:v>Anggota</x:v>
      </x:c>
      <x:c r="E19" s="20" t="str">
        <x:v>Savid Alwazan</x:v>
      </x:c>
      <x:c r="F19" s="20" t="str">
        <x:v>5081854</x:v>
      </x:c>
      <x:c r="G19" s="20" t="str">
        <x:v>Ya</x:v>
      </x:c>
      <x:c r="H19" s="20" t="str">
        <x:v>Referensi MD; editable dan perlu konfirmasi</x:v>
      </x:c>
    </x:row>
    <x:row r="20">
      <x:c r="A20" s="20" t="str">
        <x:v>COM-019</x:v>
      </x:c>
      <x:c r="B20" s="20" t="str">
        <x:v>Kegiatan HUT</x:v>
      </x:c>
      <x:c r="C20" s="20" t="str">
        <x:v>Acara Khusus</x:v>
      </x:c>
      <x:c r="D20" s="20" t="str">
        <x:v>Ketua Bidang</x:v>
      </x:c>
      <x:c r="E20" s="20" t="str">
        <x:v>Munawir</x:v>
      </x:c>
      <x:c r="F20" s="20" t="str">
        <x:v>5122030</x:v>
      </x:c>
      <x:c r="G20" s="20" t="str">
        <x:v>Ya</x:v>
      </x:c>
      <x:c r="H20" s="20" t="str">
        <x:v>Referensi MD; editable dan perlu konfirmasi</x:v>
      </x:c>
    </x:row>
    <x:row r="21">
      <x:c r="A21" s="20" t="str">
        <x:v>COM-020</x:v>
      </x:c>
      <x:c r="B21" s="20" t="str">
        <x:v>Kegiatan HUT</x:v>
      </x:c>
      <x:c r="C21" s="20" t="str">
        <x:v>Acara Khusus</x:v>
      </x:c>
      <x:c r="D21" s="20" t="str">
        <x:v>Anggota</x:v>
      </x:c>
      <x:c r="E21" s="20" t="str">
        <x:v>Intan Mutia</x:v>
      </x:c>
      <x:c r="F21" s="20" t="str">
        <x:v>5122080</x:v>
      </x:c>
      <x:c r="G21" s="20" t="str">
        <x:v>Ya</x:v>
      </x:c>
      <x:c r="H21" s="20" t="str">
        <x:v>Referensi MD; editable dan perlu konfirmasi</x:v>
      </x:c>
    </x:row>
    <x:row r="22">
      <x:c r="A22" s="20" t="str">
        <x:v>COM-021</x:v>
      </x:c>
      <x:c r="B22" s="20" t="str">
        <x:v>Kegiatan HUT</x:v>
      </x:c>
      <x:c r="C22" s="20" t="str">
        <x:v>Acara Khusus</x:v>
      </x:c>
      <x:c r="D22" s="20" t="str">
        <x:v>Anggota</x:v>
      </x:c>
      <x:c r="E22" s="20" t="str">
        <x:v>Lisa Zulmayeti</x:v>
      </x:c>
      <x:c r="F22" s="20" t="str">
        <x:v>5200005</x:v>
      </x:c>
      <x:c r="G22" s="20" t="str">
        <x:v>Ya</x:v>
      </x:c>
      <x:c r="H22" s="20" t="str">
        <x:v>Referensi MD; editable dan perlu konfirmasi</x:v>
      </x:c>
    </x:row>
    <x:row r="23">
      <x:c r="A23" s="20" t="str">
        <x:v>COM-022</x:v>
      </x:c>
      <x:c r="B23" s="20" t="str">
        <x:v>Kegiatan HUT</x:v>
      </x:c>
      <x:c r="C23" s="20" t="str">
        <x:v>Acara Khusus</x:v>
      </x:c>
      <x:c r="D23" s="20" t="str">
        <x:v>Anggota</x:v>
      </x:c>
      <x:c r="E23" s="20" t="str">
        <x:v>Rustam Effendi</x:v>
      </x:c>
      <x:c r="F23" s="20" t="str">
        <x:v>5180108</x:v>
      </x:c>
      <x:c r="G23" s="20" t="str">
        <x:v>Ya</x:v>
      </x:c>
      <x:c r="H23" s="20" t="str">
        <x:v>Referensi MD; editable dan perlu konfirmasi</x:v>
      </x:c>
    </x:row>
    <x:row r="24">
      <x:c r="A24" s="20" t="str">
        <x:v>COM-023</x:v>
      </x:c>
      <x:c r="B24" s="20" t="str">
        <x:v>Kegiatan HUT</x:v>
      </x:c>
      <x:c r="C24" s="20" t="str">
        <x:v>Acara Khusus</x:v>
      </x:c>
      <x:c r="D24" s="20" t="str">
        <x:v>Anggota</x:v>
      </x:c>
      <x:c r="E24" s="20" t="str">
        <x:v>Rohaya</x:v>
      </x:c>
      <x:c r="F24" s="20" t="str">
        <x:v>5180044</x:v>
      </x:c>
      <x:c r="G24" s="20" t="str">
        <x:v>Ya</x:v>
      </x:c>
      <x:c r="H24" s="20" t="str">
        <x:v>Referensi MD; editable dan perlu konfirmasi</x:v>
      </x:c>
    </x:row>
    <x:row r="25">
      <x:c r="A25" s="20" t="str">
        <x:v>COM-024</x:v>
      </x:c>
      <x:c r="B25" s="20" t="str">
        <x:v>Kegiatan HUT</x:v>
      </x:c>
      <x:c r="C25" s="20" t="str">
        <x:v>Publikasi &amp; Dokumentasi</x:v>
      </x:c>
      <x:c r="D25" s="20" t="str">
        <x:v>Ketua Bidang</x:v>
      </x:c>
      <x:c r="E25" s="20" t="str">
        <x:v>Milna</x:v>
      </x:c>
      <x:c r="F25" s="20" t="str">
        <x:v>5180049</x:v>
      </x:c>
      <x:c r="G25" s="20" t="str">
        <x:v>Ya</x:v>
      </x:c>
      <x:c r="H25" s="20" t="str">
        <x:v>Referensi MD; editable dan perlu konfirmasi</x:v>
      </x:c>
    </x:row>
    <x:row r="26">
      <x:c r="A26" s="20" t="str">
        <x:v>COM-025</x:v>
      </x:c>
      <x:c r="B26" s="20" t="str">
        <x:v>Kegiatan HUT</x:v>
      </x:c>
      <x:c r="C26" s="20" t="str">
        <x:v>Publikasi &amp; Dokumentasi</x:v>
      </x:c>
      <x:c r="D26" s="20" t="str">
        <x:v>Anggota</x:v>
      </x:c>
      <x:c r="E26" s="20" t="str">
        <x:v>Reza Juanda</x:v>
      </x:c>
      <x:c r="F26" s="20" t="str">
        <x:v>5091907</x:v>
      </x:c>
      <x:c r="G26" s="20" t="str">
        <x:v>Ya</x:v>
      </x:c>
      <x:c r="H26" s="20" t="str">
        <x:v>Referensi MD; editable dan perlu konfirmasi</x:v>
      </x:c>
    </x:row>
    <x:row r="27">
      <x:c r="A27" s="20" t="str">
        <x:v>COM-026</x:v>
      </x:c>
      <x:c r="B27" s="20" t="str">
        <x:v>Kegiatan HUT</x:v>
      </x:c>
      <x:c r="C27" s="20" t="str">
        <x:v>Tarik Tambang &amp; Balap Karung</x:v>
      </x:c>
      <x:c r="D27" s="20" t="str">
        <x:v>Ketua Bidang</x:v>
      </x:c>
      <x:c r="E27" s="20" t="str">
        <x:v>Muzani</x:v>
      </x:c>
      <x:c r="F27" s="20" t="str">
        <x:v>5180104</x:v>
      </x:c>
      <x:c r="G27" s="20" t="str">
        <x:v>Ya</x:v>
      </x:c>
      <x:c r="H27" s="20" t="str">
        <x:v>Referensi MD; editable dan perlu konfirmasi</x:v>
      </x:c>
    </x:row>
    <x:row r="28">
      <x:c r="A28" s="20" t="str">
        <x:v>COM-027</x:v>
      </x:c>
      <x:c r="B28" s="20" t="str">
        <x:v>Kegiatan HUT</x:v>
      </x:c>
      <x:c r="C28" s="20" t="str">
        <x:v>Tarik Tambang &amp; Balap Karung</x:v>
      </x:c>
      <x:c r="D28" s="20" t="str">
        <x:v>Anggota</x:v>
      </x:c>
      <x:c r="E28" s="20" t="str">
        <x:v>Ladjar Bailummi</x:v>
      </x:c>
      <x:c r="F28" s="20" t="str">
        <x:v>5180110</x:v>
      </x:c>
      <x:c r="G28" s="20" t="str">
        <x:v>Ya</x:v>
      </x:c>
      <x:c r="H28" s="20" t="str">
        <x:v>Referensi MD; editable dan perlu konfirmasi</x:v>
      </x:c>
    </x:row>
    <x:row r="29">
      <x:c r="A29" s="20" t="str">
        <x:v>COM-028</x:v>
      </x:c>
      <x:c r="B29" s="20" t="str">
        <x:v>Kegiatan HUT</x:v>
      </x:c>
      <x:c r="C29" s="20" t="str">
        <x:v>Tarik Tambang &amp; Balap Karung</x:v>
      </x:c>
      <x:c r="D29" s="20" t="str">
        <x:v>Anggota</x:v>
      </x:c>
      <x:c r="E29" s="20" t="str">
        <x:v>Muhammad Nasir</x:v>
      </x:c>
      <x:c r="F29" s="20" t="str">
        <x:v>5041805</x:v>
      </x:c>
      <x:c r="G29" s="20" t="str">
        <x:v>Ya</x:v>
      </x:c>
      <x:c r="H29" s="20" t="str">
        <x:v>Referensi MD; editable dan perlu konfirmasi</x:v>
      </x:c>
    </x:row>
    <x:row r="30">
      <x:c r="A30" s="20" t="str">
        <x:v>COM-029</x:v>
      </x:c>
      <x:c r="B30" s="20" t="str">
        <x:v>Kegiatan HUT</x:v>
      </x:c>
      <x:c r="C30" s="20" t="str">
        <x:v>Run 5K</x:v>
      </x:c>
      <x:c r="D30" s="20" t="str">
        <x:v>Ketua Bidang</x:v>
      </x:c>
      <x:c r="E30" s="20" t="str">
        <x:v>Muzakir</x:v>
      </x:c>
      <x:c r="F30" s="20" t="str">
        <x:v>5122087</x:v>
      </x:c>
      <x:c r="G30" s="20" t="str">
        <x:v>Ya</x:v>
      </x:c>
      <x:c r="H30" s="20" t="str">
        <x:v>Referensi MD; editable dan perlu konfirmasi</x:v>
      </x:c>
    </x:row>
    <x:row r="31">
      <x:c r="A31" s="20" t="str">
        <x:v>COM-030</x:v>
      </x:c>
      <x:c r="B31" s="20" t="str">
        <x:v>Kegiatan HUT</x:v>
      </x:c>
      <x:c r="C31" s="20" t="str">
        <x:v>Run 5K</x:v>
      </x:c>
      <x:c r="D31" s="20" t="str">
        <x:v>Anggota</x:v>
      </x:c>
      <x:c r="E31" s="20" t="str">
        <x:v>Faisal Maulana</x:v>
      </x:c>
      <x:c r="F31" s="20" t="str">
        <x:v>5122079</x:v>
      </x:c>
      <x:c r="G31" s="20" t="str">
        <x:v>Ya</x:v>
      </x:c>
      <x:c r="H31" s="20" t="str">
        <x:v>Referensi MD; editable dan perlu konfirmasi</x:v>
      </x:c>
    </x:row>
    <x:row r="32">
      <x:c r="A32" s="20" t="str">
        <x:v>COM-031</x:v>
      </x:c>
      <x:c r="B32" s="20" t="str">
        <x:v>Kegiatan HUT</x:v>
      </x:c>
      <x:c r="C32" s="20" t="str">
        <x:v>Run 5K</x:v>
      </x:c>
      <x:c r="D32" s="20" t="str">
        <x:v>Anggota</x:v>
      </x:c>
      <x:c r="E32" s="20" t="str">
        <x:v>Agustria</x:v>
      </x:c>
      <x:c r="F32" s="20" t="str">
        <x:v>5200009</x:v>
      </x:c>
      <x:c r="G32" s="20" t="str">
        <x:v>Ya</x:v>
      </x:c>
      <x:c r="H32" s="20" t="str">
        <x:v>Referensi MD; editable dan perlu konfirmasi</x:v>
      </x:c>
    </x:row>
    <x:row r="33">
      <x:c r="A33" s="20" t="str">
        <x:v>COM-032</x:v>
      </x:c>
      <x:c r="B33" s="20" t="str">
        <x:v>Kegiatan HUT</x:v>
      </x:c>
      <x:c r="C33" s="20" t="str">
        <x:v>Run 5K</x:v>
      </x:c>
      <x:c r="D33" s="20" t="str">
        <x:v>Anggota</x:v>
      </x:c>
      <x:c r="E33" s="20" t="str">
        <x:v>Akbar Wisesa Wiranata</x:v>
      </x:c>
      <x:c r="F33" s="20" t="str">
        <x:v>5240011</x:v>
      </x:c>
      <x:c r="G33" s="20" t="str">
        <x:v>Ya</x:v>
      </x:c>
      <x:c r="H33" s="20" t="str">
        <x:v>Referensi MD; editable dan perlu konfirmasi</x:v>
      </x:c>
    </x:row>
    <x:row r="34">
      <x:c r="A34" s="20" t="str">
        <x:v>COM-033</x:v>
      </x:c>
      <x:c r="B34" s="20" t="str">
        <x:v>Kegiatan HUT</x:v>
      </x:c>
      <x:c r="C34" s="20" t="str">
        <x:v>Lomba Masak</x:v>
      </x:c>
      <x:c r="D34" s="20" t="str">
        <x:v>Ketua Bidang</x:v>
      </x:c>
      <x:c r="E34" s="20" t="str">
        <x:v>Desna Syarafina</x:v>
      </x:c>
      <x:c r="F34" s="20" t="str">
        <x:v>5180038</x:v>
      </x:c>
      <x:c r="G34" s="20" t="str">
        <x:v>Ya</x:v>
      </x:c>
      <x:c r="H34" s="20" t="str">
        <x:v>Referensi MD; editable dan perlu konfirmasi</x:v>
      </x:c>
    </x:row>
    <x:row r="35">
      <x:c r="A35" s="20" t="str">
        <x:v>COM-034</x:v>
      </x:c>
      <x:c r="B35" s="20" t="str">
        <x:v>Kegiatan HUT</x:v>
      </x:c>
      <x:c r="C35" s="20" t="str">
        <x:v>Lomba Masak</x:v>
      </x:c>
      <x:c r="D35" s="20" t="str">
        <x:v>Anggota</x:v>
      </x:c>
      <x:c r="E35" s="20" t="str">
        <x:v>Silvia Mardhania A</x:v>
      </x:c>
      <x:c r="F35" s="20" t="str">
        <x:v>5180109</x:v>
      </x:c>
      <x:c r="G35" s="20" t="str">
        <x:v>Ya</x:v>
      </x:c>
      <x:c r="H35" s="20" t="str">
        <x:v>Referensi MD; editable dan perlu konfirmasi</x:v>
      </x:c>
    </x:row>
    <x:row r="36">
      <x:c r="A36" s="20" t="str">
        <x:v>COM-035</x:v>
      </x:c>
      <x:c r="B36" s="20" t="str">
        <x:v>Kegiatan HUT</x:v>
      </x:c>
      <x:c r="C36" s="20" t="str">
        <x:v>Lomba Masak</x:v>
      </x:c>
      <x:c r="D36" s="20" t="str">
        <x:v>Anggota</x:v>
      </x:c>
      <x:c r="E36" s="20" t="str">
        <x:v>Nurasiah</x:v>
      </x:c>
      <x:c r="F36" s="20" t="str">
        <x:v>5180079</x:v>
      </x:c>
      <x:c r="G36" s="20" t="str">
        <x:v>Ya</x:v>
      </x:c>
      <x:c r="H36" s="20" t="str">
        <x:v>Referensi MD; editable dan perlu konfirmasi</x:v>
      </x:c>
    </x:row>
    <x:row r="37">
      <x:c r="A37" s="20" t="str">
        <x:v>COM-036</x:v>
      </x:c>
      <x:c r="B37" s="20" t="str">
        <x:v>Kegiatan HUT</x:v>
      </x:c>
      <x:c r="C37" s="20" t="str">
        <x:v>Lomba Masak</x:v>
      </x:c>
      <x:c r="D37" s="20" t="str">
        <x:v>Anggota</x:v>
      </x:c>
      <x:c r="E37" s="20" t="str">
        <x:v>Eko Julianto</x:v>
      </x:c>
      <x:c r="F37" s="20" t="str">
        <x:v>5180113</x:v>
      </x:c>
      <x:c r="G37" s="20" t="str">
        <x:v>Ya</x:v>
      </x:c>
      <x:c r="H37" s="20" t="str">
        <x:v>Referensi MD; editable dan perlu konfirmasi</x:v>
      </x:c>
    </x:row>
    <x:row r="38">
      <x:c r="A38" s="20" t="str">
        <x:v>COM-037</x:v>
      </x:c>
      <x:c r="B38" s="20" t="str">
        <x:v>Kegiatan HUT</x:v>
      </x:c>
      <x:c r="C38" s="20" t="str">
        <x:v>Fun Game Anak</x:v>
      </x:c>
      <x:c r="D38" s="20" t="str">
        <x:v>Ketua Bidang</x:v>
      </x:c>
      <x:c r="E38" s="20" t="str">
        <x:v>Danil Maha Putra</x:v>
      </x:c>
      <x:c r="F38" s="20" t="str">
        <x:v>5200001</x:v>
      </x:c>
      <x:c r="G38" s="20" t="str">
        <x:v>Ya</x:v>
      </x:c>
      <x:c r="H38" s="20" t="str">
        <x:v>Referensi MD; editable dan perlu konfirmasi</x:v>
      </x:c>
    </x:row>
    <x:row r="39">
      <x:c r="A39" s="20" t="str">
        <x:v>COM-038</x:v>
      </x:c>
      <x:c r="B39" s="20" t="str">
        <x:v>Kegiatan HUT</x:v>
      </x:c>
      <x:c r="C39" s="20" t="str">
        <x:v>Fun Game Anak</x:v>
      </x:c>
      <x:c r="D39" s="20" t="str">
        <x:v>Anggota</x:v>
      </x:c>
      <x:c r="E39" s="20" t="str">
        <x:v>Muhammad Yatim</x:v>
      </x:c>
      <x:c r="F39" s="20" t="str">
        <x:v>5180071</x:v>
      </x:c>
      <x:c r="G39" s="20" t="str">
        <x:v>Ya</x:v>
      </x:c>
      <x:c r="H39" s="20" t="str">
        <x:v>Referensi MD; editable dan perlu konfirmasi</x:v>
      </x:c>
    </x:row>
    <x:row r="40">
      <x:c r="A40" s="20" t="str">
        <x:v>COM-039</x:v>
      </x:c>
      <x:c r="B40" s="20" t="str">
        <x:v>Kegiatan HUT</x:v>
      </x:c>
      <x:c r="C40" s="20" t="str">
        <x:v>Fun Game Anak</x:v>
      </x:c>
      <x:c r="D40" s="20" t="str">
        <x:v>Anggota</x:v>
      </x:c>
      <x:c r="E40" s="20" t="str">
        <x:v>Rifa'atul Mawaddah</x:v>
      </x:c>
      <x:c r="F40" s="20" t="str">
        <x:v>5180077</x:v>
      </x:c>
      <x:c r="G40" s="20" t="str">
        <x:v>Ya</x:v>
      </x:c>
      <x:c r="H40" s="20" t="str">
        <x:v>Referensi MD; editable dan perlu konfirmasi</x:v>
      </x:c>
    </x:row>
    <x:row r="41">
      <x:c r="A41" s="20" t="str">
        <x:v>COM-040</x:v>
      </x:c>
      <x:c r="B41" s="20" t="str">
        <x:v>Kegiatan HUT</x:v>
      </x:c>
      <x:c r="C41" s="20" t="str">
        <x:v>Stanblok PIKA</x:v>
      </x:c>
      <x:c r="D41" s="20" t="str">
        <x:v>Ketua Bidang</x:v>
      </x:c>
      <x:c r="E41" s="20" t="str">
        <x:v>Nuraisyah Betty Marbun</x:v>
      </x:c>
      <x:c r="F41" s="20" t="str">
        <x:v>5122026</x:v>
      </x:c>
      <x:c r="G41" s="20" t="str">
        <x:v>Ya</x:v>
      </x:c>
      <x:c r="H41" s="20" t="str">
        <x:v>Referensi MD; editable dan perlu konfirmasi</x:v>
      </x:c>
    </x:row>
    <x:row r="42">
      <x:c r="A42" s="20" t="str">
        <x:v>COM-041</x:v>
      </x:c>
      <x:c r="B42" s="20" t="str">
        <x:v>Kegiatan HUT</x:v>
      </x:c>
      <x:c r="C42" s="20" t="str">
        <x:v>Stanblok PIKA</x:v>
      </x:c>
      <x:c r="D42" s="20" t="str">
        <x:v>Anggota</x:v>
      </x:c>
      <x:c r="E42" s="20" t="str">
        <x:v>Evilianty</x:v>
      </x:c>
      <x:c r="F42" s="20" t="str">
        <x:v>5122075</x:v>
      </x:c>
      <x:c r="G42" s="20" t="str">
        <x:v>Ya</x:v>
      </x:c>
      <x:c r="H42" s="20" t="str">
        <x:v>Referensi MD; editable dan perlu konfirmasi</x:v>
      </x:c>
    </x:row>
    <x:row r="43">
      <x:c r="A43" s="20" t="str">
        <x:v>COM-042</x:v>
      </x:c>
      <x:c r="B43" s="20" t="str">
        <x:v>Kegiatan HUT</x:v>
      </x:c>
      <x:c r="C43" s="20" t="str">
        <x:v>Stanblok PIKA</x:v>
      </x:c>
      <x:c r="D43" s="20" t="str">
        <x:v>Anggota</x:v>
      </x:c>
      <x:c r="E43" s="20" t="str">
        <x:v>Siti Rulia</x:v>
      </x:c>
      <x:c r="F43" s="20" t="str">
        <x:v>5180078</x:v>
      </x:c>
      <x:c r="G43" s="20" t="str">
        <x:v>Ya</x:v>
      </x:c>
      <x:c r="H43" s="20" t="str">
        <x:v>Referensi MD; editable dan perlu konfirmasi</x:v>
      </x:c>
    </x:row>
    <x:row r="44">
      <x:c r="A44" s="20" t="str">
        <x:v>COM-043</x:v>
      </x:c>
      <x:c r="B44" s="20" t="str">
        <x:v>Kegiatan HUT</x:v>
      </x:c>
      <x:c r="C44" s="20" t="str">
        <x:v>Stanblok PIKA</x:v>
      </x:c>
      <x:c r="D44" s="20" t="str">
        <x:v>Anggota</x:v>
      </x:c>
      <x:c r="E44" s="20" t="str">
        <x:v>Olya Wijaya</x:v>
      </x:c>
      <x:c r="F44" s="20" t="str">
        <x:v>5180083</x:v>
      </x:c>
      <x:c r="G44" s="20" t="str">
        <x:v>Ya</x:v>
      </x:c>
      <x:c r="H44" s="20" t="str">
        <x:v>Referensi MD; editable dan perlu konfirmasi</x:v>
      </x:c>
    </x:row>
    <x:row r="45">
      <x:c r="A45" s="20" t="str">
        <x:v>COM-044</x:v>
      </x:c>
      <x:c r="B45" s="20" t="str">
        <x:v>Kegiatan HUT</x:v>
      </x:c>
      <x:c r="C45" s="20" t="str">
        <x:v>Peralatan, Perlengkapan &amp; Konsumsi</x:v>
      </x:c>
      <x:c r="D45" s="20" t="str">
        <x:v>Ketua Bidang</x:v>
      </x:c>
      <x:c r="E45" s="20" t="str">
        <x:v>Mulia Zahrin</x:v>
      </x:c>
      <x:c r="F45" s="20" t="str">
        <x:v>5941637</x:v>
      </x:c>
      <x:c r="G45" s="20" t="str">
        <x:v>Ya</x:v>
      </x:c>
      <x:c r="H45" s="20" t="str">
        <x:v>Referensi MD; editable dan perlu konfirmasi</x:v>
      </x:c>
    </x:row>
    <x:row r="46">
      <x:c r="A46" s="20" t="str">
        <x:v>COM-045</x:v>
      </x:c>
      <x:c r="B46" s="20" t="str">
        <x:v>Kegiatan HUT</x:v>
      </x:c>
      <x:c r="C46" s="20" t="str">
        <x:v>Peralatan, Perlengkapan &amp; Konsumsi</x:v>
      </x:c>
      <x:c r="D46" s="20" t="str">
        <x:v>Anggota</x:v>
      </x:c>
      <x:c r="E46" s="20" t="str">
        <x:v>Andriansyah</x:v>
      </x:c>
      <x:c r="F46" s="20" t="str">
        <x:v>5091936</x:v>
      </x:c>
      <x:c r="G46" s="20" t="str">
        <x:v>Ya</x:v>
      </x:c>
      <x:c r="H46" s="20" t="str">
        <x:v>Referensi MD; editable dan perlu konfirmasi</x:v>
      </x:c>
    </x:row>
    <x:row r="47">
      <x:c r="A47" s="20" t="str">
        <x:v>COM-046</x:v>
      </x:c>
      <x:c r="B47" s="20" t="str">
        <x:v>Kegiatan HUT</x:v>
      </x:c>
      <x:c r="C47" s="20" t="str">
        <x:v>Peralatan, Perlengkapan &amp; Konsumsi</x:v>
      </x:c>
      <x:c r="D47" s="20" t="str">
        <x:v>Anggota</x:v>
      </x:c>
      <x:c r="E47" s="20" t="str">
        <x:v>Dedek Muntasir</x:v>
      </x:c>
      <x:c r="F47" s="20" t="str">
        <x:v>5180115</x:v>
      </x:c>
      <x:c r="G47" s="20" t="str">
        <x:v>Ya</x:v>
      </x:c>
      <x:c r="H47" s="20" t="str">
        <x:v>Referensi MD; editable dan perlu konfirmasi</x:v>
      </x:c>
    </x:row>
    <x:row r="48">
      <x:c r="A48" s="20" t="str">
        <x:v>COM-047</x:v>
      </x:c>
      <x:c r="B48" s="20" t="str">
        <x:v>Kegiatan HUT</x:v>
      </x:c>
      <x:c r="C48" s="20" t="str">
        <x:v>Hadiah &amp; Lucky Draw</x:v>
      </x:c>
      <x:c r="D48" s="20" t="str">
        <x:v>Ketua Bidang</x:v>
      </x:c>
      <x:c r="E48" s="20" t="str">
        <x:v>Fenti Novita Sari</x:v>
      </x:c>
      <x:c r="F48" s="20" t="str">
        <x:v>5180052</x:v>
      </x:c>
      <x:c r="G48" s="20" t="str">
        <x:v>Ya</x:v>
      </x:c>
      <x:c r="H48" s="20" t="str">
        <x:v>Referensi MD; editable dan perlu konfirmasi</x:v>
      </x:c>
    </x:row>
    <x:row r="49">
      <x:c r="A49" s="20" t="str">
        <x:v>COM-048</x:v>
      </x:c>
      <x:c r="B49" s="20" t="str">
        <x:v>Kegiatan HUT</x:v>
      </x:c>
      <x:c r="C49" s="20" t="str">
        <x:v>Hadiah &amp; Lucky Draw</x:v>
      </x:c>
      <x:c r="D49" s="20" t="str">
        <x:v>Anggota</x:v>
      </x:c>
      <x:c r="E49" s="20" t="str">
        <x:v>Aidil Azhar</x:v>
      </x:c>
      <x:c r="F49" s="20" t="str">
        <x:v>5180120</x:v>
      </x:c>
      <x:c r="G49" s="20" t="str">
        <x:v>Ya</x:v>
      </x:c>
      <x:c r="H49" s="20" t="str">
        <x:v>Referensi MD; editable dan perlu konfirmasi</x:v>
      </x:c>
    </x:row>
    <x:row r="50">
      <x:c r="A50" s="20" t="str">
        <x:v>COM-049</x:v>
      </x:c>
      <x:c r="B50" s="20" t="str">
        <x:v>Kegiatan HUT</x:v>
      </x:c>
      <x:c r="C50" s="20" t="str">
        <x:v>Hadiah &amp; Lucky Draw</x:v>
      </x:c>
      <x:c r="D50" s="20" t="str">
        <x:v>Anggota</x:v>
      </x:c>
      <x:c r="E50" s="20" t="str">
        <x:v>Zahara</x:v>
      </x:c>
      <x:c r="F50" s="20" t="str">
        <x:v>5180100</x:v>
      </x:c>
      <x:c r="G50" s="20" t="str">
        <x:v>Ya</x:v>
      </x:c>
      <x:c r="H50" s="20" t="str">
        <x:v>Referensi MD; editable dan perlu konfirmasi</x:v>
      </x:c>
    </x:row>
    <x:row r="51">
      <x:c r="A51" s="20" t="str">
        <x:v>COM-050</x:v>
      </x:c>
      <x:c r="B51" s="20" t="str">
        <x:v>Kegiatan HUT</x:v>
      </x:c>
      <x:c r="C51" s="20" t="str">
        <x:v>Hadiah &amp; Lucky Draw</x:v>
      </x:c>
      <x:c r="D51" s="20" t="str">
        <x:v>Anggota</x:v>
      </x:c>
      <x:c r="E51" s="20" t="str">
        <x:v>Dede Praja Zulakamain</x:v>
      </x:c>
      <x:c r="F51" s="20" t="str">
        <x:v>5180101</x:v>
      </x:c>
      <x:c r="G51" s="20" t="str">
        <x:v>Ya</x:v>
      </x:c>
      <x:c r="H51" s="20" t="str">
        <x:v>Referensi MD; editable dan perlu konfirmasi</x:v>
      </x:c>
    </x:row>
    <x:row r="52">
      <x:c r="A52" s="20" t="str">
        <x:v>COM-051</x:v>
      </x:c>
      <x:c r="B52" s="20" t="str">
        <x:v>Rakor Dirut PI Group</x:v>
      </x:c>
      <x:c r="C52" s="20" t="str">
        <x:v>Pimpinan</x:v>
      </x:c>
      <x:c r="D52" s="20" t="str">
        <x:v>Ketua</x:v>
      </x:c>
      <x:c r="E52" s="20" t="str">
        <x:v>Teuku Alfianda Qadri</x:v>
      </x:c>
      <x:c r="F52" s="20" t="str">
        <x:v>5122024</x:v>
      </x:c>
      <x:c r="G52" s="20" t="str">
        <x:v>Ya</x:v>
      </x:c>
      <x:c r="H52" s="20" t="str">
        <x:v>Referensi MD; editable dan perlu konfirmasi</x:v>
      </x:c>
    </x:row>
    <x:row r="53">
      <x:c r="A53" s="20" t="str">
        <x:v>COM-052</x:v>
      </x:c>
      <x:c r="B53" s="20" t="str">
        <x:v>Rakor Dirut PI Group</x:v>
      </x:c>
      <x:c r="C53" s="20" t="str">
        <x:v>Pimpinan</x:v>
      </x:c>
      <x:c r="D53" s="20" t="str">
        <x:v>Wakil Ketua</x:v>
      </x:c>
      <x:c r="E53" s="20" t="str">
        <x:v>Fariz Ridha</x:v>
      </x:c>
      <x:c r="F53" s="20" t="str">
        <x:v>5180030</x:v>
      </x:c>
      <x:c r="G53" s="20" t="str">
        <x:v>Ya</x:v>
      </x:c>
      <x:c r="H53" s="20" t="str">
        <x:v>Referensi MD; editable dan perlu konfirmasi</x:v>
      </x:c>
    </x:row>
    <x:row r="54">
      <x:c r="A54" s="20" t="str">
        <x:v>COM-053</x:v>
      </x:c>
      <x:c r="B54" s="20" t="str">
        <x:v>Rakor Dirut PI Group</x:v>
      </x:c>
      <x:c r="C54" s="20" t="str">
        <x:v>Pimpinan</x:v>
      </x:c>
      <x:c r="D54" s="20" t="str">
        <x:v>Sekretaris</x:v>
      </x:c>
      <x:c r="E54" s="20" t="str">
        <x:v>Dila Roswita</x:v>
      </x:c>
      <x:c r="F54" s="20" t="str">
        <x:v>5180041</x:v>
      </x:c>
      <x:c r="G54" s="20" t="str">
        <x:v>Ya</x:v>
      </x:c>
      <x:c r="H54" s="20" t="str">
        <x:v>Referensi MD; editable dan perlu konfirmasi</x:v>
      </x:c>
    </x:row>
    <x:row r="55">
      <x:c r="A55" s="20" t="str">
        <x:v>COM-054</x:v>
      </x:c>
      <x:c r="B55" s="20" t="str">
        <x:v>Rakor Dirut PI Group</x:v>
      </x:c>
      <x:c r="C55" s="20" t="str">
        <x:v>Lady's Program</x:v>
      </x:c>
      <x:c r="D55" s="20" t="str">
        <x:v>Ketua Bidang</x:v>
      </x:c>
      <x:c r="E55" s="20" t="str">
        <x:v>Rezki Zufina</x:v>
      </x:c>
      <x:c r="F55" s="20" t="str">
        <x:v>5122085</x:v>
      </x:c>
      <x:c r="G55" s="20" t="str">
        <x:v>Ya</x:v>
      </x:c>
      <x:c r="H55" s="20" t="str">
        <x:v>Referensi MD; editable dan perlu konfirmasi</x:v>
      </x:c>
    </x:row>
    <x:row r="56">
      <x:c r="A56" s="20" t="str">
        <x:v>COM-055</x:v>
      </x:c>
      <x:c r="B56" s="20" t="str">
        <x:v>Rakor Dirut PI Group</x:v>
      </x:c>
      <x:c r="C56" s="20" t="str">
        <x:v>Lady's Program</x:v>
      </x:c>
      <x:c r="D56" s="20" t="str">
        <x:v>Anggota</x:v>
      </x:c>
      <x:c r="E56" s="20" t="str">
        <x:v>Nurul Kamal</x:v>
      </x:c>
      <x:c r="F56" s="20" t="str">
        <x:v>5180016</x:v>
      </x:c>
      <x:c r="G56" s="20" t="str">
        <x:v>Ya</x:v>
      </x:c>
      <x:c r="H56" s="20" t="str">
        <x:v>Referensi MD; editable dan perlu konfirmasi</x:v>
      </x:c>
    </x:row>
    <x:row r="57">
      <x:c r="A57" s="20" t="str">
        <x:v>COM-056</x:v>
      </x:c>
      <x:c r="B57" s="20" t="str">
        <x:v>Rakor Dirut PI Group</x:v>
      </x:c>
      <x:c r="C57" s="20" t="str">
        <x:v>Lady's Program</x:v>
      </x:c>
      <x:c r="D57" s="20" t="str">
        <x:v>Anggota</x:v>
      </x:c>
      <x:c r="E57" s="20" t="str">
        <x:v>Fitriani</x:v>
      </x:c>
      <x:c r="F57" s="20" t="str">
        <x:v>5081872</x:v>
      </x:c>
      <x:c r="G57" s="20" t="str">
        <x:v>Ya</x:v>
      </x:c>
      <x:c r="H57" s="20" t="str">
        <x:v>Referensi MD; editable dan perlu konfirmasi</x:v>
      </x:c>
    </x:row>
    <x:row r="58">
      <x:c r="A58" s="20" t="str">
        <x:v>COM-057</x:v>
      </x:c>
      <x:c r="B58" s="20" t="str">
        <x:v>Rakor Dirut PI Group</x:v>
      </x:c>
      <x:c r="C58" s="20" t="str">
        <x:v>Tempat &amp; Acara</x:v>
      </x:c>
      <x:c r="D58" s="20" t="str">
        <x:v>Ketua Bidang</x:v>
      </x:c>
      <x:c r="E58" s="20" t="str">
        <x:v>Zulfajri Ery Syahputra</x:v>
      </x:c>
      <x:c r="F58" s="20" t="str">
        <x:v>5180050</x:v>
      </x:c>
      <x:c r="G58" s="20" t="str">
        <x:v>Ya</x:v>
      </x:c>
      <x:c r="H58" s="20" t="str">
        <x:v>Referensi MD; editable dan perlu konfirmasi</x:v>
      </x:c>
    </x:row>
    <x:row r="59">
      <x:c r="A59" s="20" t="str">
        <x:v>COM-058</x:v>
      </x:c>
      <x:c r="B59" s="20" t="str">
        <x:v>Rakor Dirut PI Group</x:v>
      </x:c>
      <x:c r="C59" s="20" t="str">
        <x:v>Tempat &amp; Acara</x:v>
      </x:c>
      <x:c r="D59" s="20" t="str">
        <x:v>Anggota</x:v>
      </x:c>
      <x:c r="E59" s="20" t="str">
        <x:v>Rahmat Sunarya</x:v>
      </x:c>
      <x:c r="F59" s="20" t="str">
        <x:v>5180033</x:v>
      </x:c>
      <x:c r="G59" s="20" t="str">
        <x:v>Ya</x:v>
      </x:c>
      <x:c r="H59" s="20" t="str">
        <x:v>Referensi MD; editable dan perlu konfirmasi</x:v>
      </x:c>
    </x:row>
    <x:row r="60">
      <x:c r="A60" s="20" t="str">
        <x:v>COM-059</x:v>
      </x:c>
      <x:c r="B60" s="20" t="str">
        <x:v>Rakor Dirut PI Group</x:v>
      </x:c>
      <x:c r="C60" s="20" t="str">
        <x:v>Tempat &amp; Acara</x:v>
      </x:c>
      <x:c r="D60" s="20" t="str">
        <x:v>Anggota</x:v>
      </x:c>
      <x:c r="E60" s="20" t="str">
        <x:v>Arief Rahman</x:v>
      </x:c>
      <x:c r="F60" s="20" t="str">
        <x:v>5180035</x:v>
      </x:c>
      <x:c r="G60" s="20" t="str">
        <x:v>Ya</x:v>
      </x:c>
      <x:c r="H60" s="20" t="str">
        <x:v>Referensi MD; editable dan perlu konfirmasi</x:v>
      </x:c>
    </x:row>
    <x:row r="61">
      <x:c r="A61" s="20" t="str">
        <x:v>COM-060</x:v>
      </x:c>
      <x:c r="B61" s="20" t="str">
        <x:v>Rakor Dirut PI Group</x:v>
      </x:c>
      <x:c r="C61" s="20" t="str">
        <x:v>Tempat &amp; Acara</x:v>
      </x:c>
      <x:c r="D61" s="20" t="str">
        <x:v>Anggota</x:v>
      </x:c>
      <x:c r="E61" s="20" t="str">
        <x:v>Fadli Herdiansyah</x:v>
      </x:c>
      <x:c r="F61" s="20" t="str">
        <x:v>5200007</x:v>
      </x:c>
      <x:c r="G61" s="20" t="str">
        <x:v>Ya</x:v>
      </x:c>
      <x:c r="H61" s="20" t="str">
        <x:v>Referensi MD; editable dan perlu konfirmasi</x:v>
      </x:c>
    </x:row>
    <x:row r="62">
      <x:c r="A62" s="20" t="str">
        <x:v>COM-061</x:v>
      </x:c>
      <x:c r="B62" s="20" t="str">
        <x:v>Rakor Dirut PI Group</x:v>
      </x:c>
      <x:c r="C62" s="20" t="str">
        <x:v>Tempat &amp; Acara</x:v>
      </x:c>
      <x:c r="D62" s="20" t="str">
        <x:v>Anggota</x:v>
      </x:c>
      <x:c r="E62" s="20" t="str">
        <x:v>Iqbal</x:v>
      </x:c>
      <x:c r="F62" s="20" t="str">
        <x:v>5041765</x:v>
      </x:c>
      <x:c r="G62" s="20" t="str">
        <x:v>Ya</x:v>
      </x:c>
      <x:c r="H62" s="20" t="str">
        <x:v>Referensi MD; editable dan perlu konfirmasi</x:v>
      </x:c>
    </x:row>
    <x:row r="63">
      <x:c r="A63" s="20" t="str">
        <x:v>COM-062</x:v>
      </x:c>
      <x:c r="B63" s="20" t="str">
        <x:v>Rakor Dirut PI Group</x:v>
      </x:c>
      <x:c r="C63" s="20" t="str">
        <x:v>LO</x:v>
      </x:c>
      <x:c r="D63" s="20" t="str">
        <x:v>Ketua Bidang</x:v>
      </x:c>
      <x:c r="E63" s="20" t="str">
        <x:v>Fahirul Muhar</x:v>
      </x:c>
      <x:c r="F63" s="20" t="str">
        <x:v>5180056</x:v>
      </x:c>
      <x:c r="G63" s="20" t="str">
        <x:v>Ya</x:v>
      </x:c>
      <x:c r="H63" s="20" t="str">
        <x:v>Referensi MD; editable dan perlu konfirmasi</x:v>
      </x:c>
    </x:row>
    <x:row r="64">
      <x:c r="A64" s="20" t="str">
        <x:v>COM-063</x:v>
      </x:c>
      <x:c r="B64" s="20" t="str">
        <x:v>Rakor Dirut PI Group</x:v>
      </x:c>
      <x:c r="C64" s="20" t="str">
        <x:v>LO</x:v>
      </x:c>
      <x:c r="D64" s="20" t="str">
        <x:v>Anggota</x:v>
      </x:c>
      <x:c r="E64" s="20" t="str">
        <x:v>Ichsan Pradana Haris</x:v>
      </x:c>
      <x:c r="F64" s="20" t="str">
        <x:v>5180032</x:v>
      </x:c>
      <x:c r="G64" s="20" t="str">
        <x:v>Ya</x:v>
      </x:c>
      <x:c r="H64" s="20" t="str">
        <x:v>Referensi MD; editable dan perlu konfirmasi</x:v>
      </x:c>
    </x:row>
    <x:row r="65">
      <x:c r="A65" s="20" t="str">
        <x:v>COM-064</x:v>
      </x:c>
      <x:c r="B65" s="20" t="str">
        <x:v>Rakor Dirut PI Group</x:v>
      </x:c>
      <x:c r="C65" s="20" t="str">
        <x:v>LO</x:v>
      </x:c>
      <x:c r="D65" s="20" t="str">
        <x:v>Anggota</x:v>
      </x:c>
      <x:c r="E65" s="20" t="str">
        <x:v>Kennico</x:v>
      </x:c>
      <x:c r="F65" s="20" t="str">
        <x:v>5180013</x:v>
      </x:c>
      <x:c r="G65" s="20" t="str">
        <x:v>Ya</x:v>
      </x:c>
      <x:c r="H65" s="20" t="str">
        <x:v>Referensi MD; editable dan perlu konfirmasi</x:v>
      </x:c>
    </x:row>
    <x:row r="66">
      <x:c r="A66" s="20" t="str">
        <x:v>COM-065</x:v>
      </x:c>
      <x:c r="B66" s="20" t="str">
        <x:v>Rakor Dirut PI Group</x:v>
      </x:c>
      <x:c r="C66" s="20" t="str">
        <x:v>Transportasi</x:v>
      </x:c>
      <x:c r="D66" s="20" t="str">
        <x:v>Ketua Bidang</x:v>
      </x:c>
      <x:c r="E66" s="20" t="str">
        <x:v>Dharlyani</x:v>
      </x:c>
      <x:c r="F66" s="20" t="str">
        <x:v>5041725</x:v>
      </x:c>
      <x:c r="G66" s="20" t="str">
        <x:v>Ya</x:v>
      </x:c>
      <x:c r="H66" s="20" t="str">
        <x:v>Referensi MD; editable dan perlu konfirmasi</x:v>
      </x:c>
    </x:row>
    <x:row r="67">
      <x:c r="A67" s="20" t="str">
        <x:v>COM-066</x:v>
      </x:c>
      <x:c r="B67" s="20" t="str">
        <x:v>Rakor Dirut PI Group</x:v>
      </x:c>
      <x:c r="C67" s="20" t="str">
        <x:v>Transportasi</x:v>
      </x:c>
      <x:c r="D67" s="20" t="str">
        <x:v>Anggota</x:v>
      </x:c>
      <x:c r="E67" s="20" t="str">
        <x:v>Eriadi</x:v>
      </x:c>
      <x:c r="F67" s="20" t="str">
        <x:v>5041706</x:v>
      </x:c>
      <x:c r="G67" s="20" t="str">
        <x:v>Ya</x:v>
      </x:c>
      <x:c r="H67" s="20" t="str">
        <x:v>Referensi MD; editable dan perlu konfirmasi</x:v>
      </x:c>
    </x:row>
    <x:row r="68">
      <x:c r="A68" s="20" t="str">
        <x:v>COM-067</x:v>
      </x:c>
      <x:c r="B68" s="20" t="str">
        <x:v>Olahraga Bersama PI Group</x:v>
      </x:c>
      <x:c r="C68" s="20" t="str">
        <x:v>Pimpinan</x:v>
      </x:c>
      <x:c r="D68" s="20" t="str">
        <x:v>Ketua</x:v>
      </x:c>
      <x:c r="E68" s="20" t="str">
        <x:v>Murthala</x:v>
      </x:c>
      <x:c r="F68" s="20" t="str">
        <x:v>5081850</x:v>
      </x:c>
      <x:c r="G68" s="20" t="str">
        <x:v>Ya</x:v>
      </x:c>
      <x:c r="H68" s="20" t="str">
        <x:v>Referensi MD; editable dan perlu konfirmasi</x:v>
      </x:c>
    </x:row>
    <x:row r="69">
      <x:c r="A69" s="20" t="str">
        <x:v>COM-068</x:v>
      </x:c>
      <x:c r="B69" s="20" t="str">
        <x:v>Olahraga Bersama PI Group</x:v>
      </x:c>
      <x:c r="C69" s="20" t="str">
        <x:v>Pimpinan</x:v>
      </x:c>
      <x:c r="D69" s="20" t="str">
        <x:v>Wakil Ketua</x:v>
      </x:c>
      <x:c r="E69" s="20" t="str">
        <x:v>Nazar</x:v>
      </x:c>
      <x:c r="F69" s="20" t="str">
        <x:v>5081870</x:v>
      </x:c>
      <x:c r="G69" s="20" t="str">
        <x:v>Ya</x:v>
      </x:c>
      <x:c r="H69" s="20" t="str">
        <x:v>Referensi MD; editable dan perlu konfirmasi</x:v>
      </x:c>
    </x:row>
    <x:row r="70">
      <x:c r="A70" s="20" t="str">
        <x:v>COM-069</x:v>
      </x:c>
      <x:c r="B70" s="20" t="str">
        <x:v>Olahraga Bersama PI Group</x:v>
      </x:c>
      <x:c r="C70" s="20" t="str">
        <x:v>Pelaksana</x:v>
      </x:c>
      <x:c r="D70" s="20" t="str">
        <x:v>Anggota</x:v>
      </x:c>
      <x:c r="E70" s="20" t="str">
        <x:v>Andika Anugrah</x:v>
      </x:c>
      <x:c r="F70" s="20" t="str">
        <x:v>5180034</x:v>
      </x:c>
      <x:c r="G70" s="20" t="str">
        <x:v>Ya</x:v>
      </x:c>
      <x:c r="H70" s="20" t="str">
        <x:v>Referensi MD; editable dan perlu konfirmasi</x:v>
      </x:c>
    </x:row>
    <x:row r="71">
      <x:c r="A71" s="20" t="str">
        <x:v>COM-070</x:v>
      </x:c>
      <x:c r="B71" s="20" t="str">
        <x:v>Olahraga Bersama PI Group</x:v>
      </x:c>
      <x:c r="C71" s="20" t="str">
        <x:v>Pelaksana</x:v>
      </x:c>
      <x:c r="D71" s="20" t="str">
        <x:v>Anggota</x:v>
      </x:c>
      <x:c r="E71" s="20" t="str">
        <x:v>Giffari Almuzani</x:v>
      </x:c>
      <x:c r="F71" s="20" t="str">
        <x:v>5200002</x:v>
      </x:c>
      <x:c r="G71" s="20" t="str">
        <x:v>Ya</x:v>
      </x:c>
      <x:c r="H71" s="20" t="str">
        <x:v>Referensi MD; editable dan perlu konfirmasi</x:v>
      </x:c>
    </x:row>
    <x:row r="72">
      <x:c r="A72" s="20" t="str">
        <x:v>COM-071</x:v>
      </x:c>
      <x:c r="B72" s="20" t="str">
        <x:v>Olahraga Bersama PI Group</x:v>
      </x:c>
      <x:c r="C72" s="20" t="str">
        <x:v>Pelaksana</x:v>
      </x:c>
      <x:c r="D72" s="20" t="str">
        <x:v>Anggota</x:v>
      </x:c>
      <x:c r="E72" s="20" t="str">
        <x:v>Novan Umaya</x:v>
      </x:c>
      <x:c r="F72" s="20" t="str">
        <x:v>5180046</x:v>
      </x:c>
      <x:c r="G72" s="20" t="str">
        <x:v>Ya</x:v>
      </x:c>
      <x:c r="H72" s="20" t="str">
        <x:v>Referensi MD; editable dan perlu konfirmasi</x:v>
      </x:c>
    </x:row>
    <x:row r="73">
      <x:c r="A73" s="20" t="str">
        <x:v>COM-072</x:v>
      </x:c>
      <x:c r="B73" s="20" t="str">
        <x:v>Olahraga Bersama PI Group</x:v>
      </x:c>
      <x:c r="C73" s="20" t="str">
        <x:v>Pelaksana</x:v>
      </x:c>
      <x:c r="D73" s="20" t="str">
        <x:v>Anggota</x:v>
      </x:c>
      <x:c r="E73" s="20" t="str">
        <x:v>Renno Kamal Putra</x:v>
      </x:c>
      <x:c r="F73" s="20" t="str">
        <x:v>5180031</x:v>
      </x:c>
      <x:c r="G73" s="20" t="str">
        <x:v>Ya</x:v>
      </x:c>
      <x:c r="H73" s="20" t="str">
        <x:v>Referensi MD; editable dan perlu konfirmasi</x:v>
      </x:c>
    </x:row>
    <x:row r="74">
      <x:c r="A74" s="20" t="str">
        <x:v>COM-073</x:v>
      </x:c>
      <x:c r="B74" s="20" t="str">
        <x:v>Olahraga Bersama PI Group</x:v>
      </x:c>
      <x:c r="C74" s="20" t="str">
        <x:v>Pelaksana</x:v>
      </x:c>
      <x:c r="D74" s="20" t="str">
        <x:v>Anggota</x:v>
      </x:c>
      <x:c r="E74" s="20" t="str">
        <x:v>Ahmad Ghufran</x:v>
      </x:c>
      <x:c r="F74" s="20" t="str">
        <x:v>5180036</x:v>
      </x:c>
      <x:c r="G74" s="20" t="str">
        <x:v>Ya</x:v>
      </x:c>
      <x:c r="H74" s="20" t="str">
        <x:v>Referensi MD; editable dan perlu konfirmasi</x:v>
      </x:c>
    </x:row>
    <x:row r="75">
      <x:c r="A75" s="20" t="str">
        <x:v>COM-074</x:v>
      </x:c>
      <x:c r="B75" s="20" t="str">
        <x:v>Olahraga Bersama PI Group</x:v>
      </x:c>
      <x:c r="C75" s="20" t="str">
        <x:v>Pelaksana</x:v>
      </x:c>
      <x:c r="D75" s="20" t="str">
        <x:v>Anggota</x:v>
      </x:c>
      <x:c r="E75" s="20" t="str">
        <x:v>Faria Insyira</x:v>
      </x:c>
      <x:c r="F75" s="20" t="str">
        <x:v>5180053</x:v>
      </x:c>
      <x:c r="G75" s="20" t="str">
        <x:v>Ya</x:v>
      </x:c>
      <x:c r="H75" s="20" t="str">
        <x:v>Referensi MD; editable dan perlu konfirmasi</x:v>
      </x:c>
    </x:row>
  </x:sheetData>
  <x:dataValidations count="1">
    <x:dataValidation type="list" sqref="G2:G3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be3d6b38f946f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6" hidden="0" customWidth="1"/>
    <x:col min="4" max="4" width="50" hidden="0" customWidth="1"/>
    <x:col min="5" max="5" width="22" hidden="0" customWidth="1"/>
    <x:col min="6" max="6" width="35" hidden="0" customWidth="1"/>
    <x:col min="7" max="7" width="10" hidden="0" customWidth="1"/>
    <x:col min="8" max="8" width="50" hidden="0" customWidth="1"/>
  </x:cols>
  <x:sheetData>
    <x:row r="1" ht="30" customHeight="1">
      <x:c r="A1" s="14" t="str">
        <x:v>Person ID</x:v>
      </x:c>
      <x:c r="B1" s="14" t="str">
        <x:v>Name</x:v>
      </x:c>
      <x:c r="C1" s="14" t="str">
        <x:v>Organization</x:v>
      </x:c>
      <x:c r="D1" s="14" t="str">
        <x:v>Primary Role / Roles</x:v>
      </x:c>
      <x:c r="E1" s="14" t="str">
        <x:v>Employee / Badge No.</x:v>
      </x:c>
      <x:c r="F1" s="14" t="str">
        <x:v>Source</x:v>
      </x:c>
      <x:c r="G1" s="14" t="str">
        <x:v>Active?</x:v>
      </x:c>
      <x:c r="H1" s="14" t="str">
        <x:v>Notes</x:v>
      </x:c>
    </x:row>
    <x:row r="2">
      <x:c r="A2" s="20" t="str">
        <x:v>P-001</x:v>
      </x:c>
      <x:c r="B2" s="20" t="str">
        <x:v>Rahmad Pribadi</x:v>
      </x:c>
      <x:c r="C2" s="20" t="str">
        <x:v>PT Pupuk Indonesia (Persero)</x:v>
      </x:c>
      <x:c r="D2" s="20" t="str">
        <x:v>Direktur Utama</x:v>
      </x:c>
      <x:c r="E2" s="20" t="str"/>
      <x:c r="F2" s="20" t="str">
        <x:v>Data Direksi per 30 Juni 2026</x:v>
      </x:c>
      <x:c r="G2" s="20" t="str">
        <x:v>Ya</x:v>
      </x:c>
      <x:c r="H2" s="20" t="str"/>
    </x:row>
    <x:row r="3">
      <x:c r="A3" s="20" t="str">
        <x:v>P-002</x:v>
      </x:c>
      <x:c r="B3" s="20" t="str">
        <x:v>Dwi Satriyo Annurogo</x:v>
      </x:c>
      <x:c r="C3" s="20" t="str">
        <x:v>PT Pupuk Indonesia (Persero)</x:v>
      </x:c>
      <x:c r="D3" s="20" t="str">
        <x:v>Direktur Operasi</x:v>
      </x:c>
      <x:c r="E3" s="20" t="str"/>
      <x:c r="F3" s="20" t="str">
        <x:v>Data Direksi per 30 Juni 2026</x:v>
      </x:c>
      <x:c r="G3" s="20" t="str">
        <x:v>Ya</x:v>
      </x:c>
      <x:c r="H3" s="20" t="str"/>
    </x:row>
    <x:row r="4">
      <x:c r="A4" s="20" t="str">
        <x:v>P-003</x:v>
      </x:c>
      <x:c r="B4" s="20" t="str">
        <x:v>Wono Budi Tjahyono</x:v>
      </x:c>
      <x:c r="C4" s="20" t="str">
        <x:v>PT Pupuk Indonesia (Persero)</x:v>
      </x:c>
      <x:c r="D4" s="20" t="str">
        <x:v>Direktur Keuangan</x:v>
      </x:c>
      <x:c r="E4" s="20" t="str"/>
      <x:c r="F4" s="20" t="str">
        <x:v>Data Direksi per 30 Juni 2026</x:v>
      </x:c>
      <x:c r="G4" s="20" t="str">
        <x:v>Ya</x:v>
      </x:c>
      <x:c r="H4" s="20" t="str"/>
    </x:row>
    <x:row r="5">
      <x:c r="A5" s="20" t="str">
        <x:v>P-004</x:v>
      </x:c>
      <x:c r="B5" s="20" t="str">
        <x:v>Tina T. Kemala Intan</x:v>
      </x:c>
      <x:c r="C5" s="20" t="str">
        <x:v>PT Pupuk Indonesia (Persero)</x:v>
      </x:c>
      <x:c r="D5" s="20" t="str">
        <x:v>Direktur Sumber Daya Manusia Dan Umum</x:v>
      </x:c>
      <x:c r="E5" s="20" t="str"/>
      <x:c r="F5" s="20" t="str">
        <x:v>Data Direksi per 30 Juni 2026</x:v>
      </x:c>
      <x:c r="G5" s="20" t="str">
        <x:v>Ya</x:v>
      </x:c>
      <x:c r="H5" s="20" t="str"/>
    </x:row>
    <x:row r="6">
      <x:c r="A6" s="20" t="str">
        <x:v>P-005</x:v>
      </x:c>
      <x:c r="B6" s="20" t="str">
        <x:v>Robby Setibudi Madjid</x:v>
      </x:c>
      <x:c r="C6" s="20" t="str">
        <x:v>PT Pupuk Indonesia (Persero)</x:v>
      </x:c>
      <x:c r="D6" s="20" t="str">
        <x:v>Direktur Supply Chain</x:v>
      </x:c>
      <x:c r="E6" s="20" t="str"/>
      <x:c r="F6" s="20" t="str">
        <x:v>Data Direksi per 30 Juni 2026</x:v>
      </x:c>
      <x:c r="G6" s="20" t="str">
        <x:v>Ya</x:v>
      </x:c>
      <x:c r="H6" s="20" t="str"/>
    </x:row>
    <x:row r="7">
      <x:c r="A7" s="20" t="str">
        <x:v>P-006</x:v>
      </x:c>
      <x:c r="B7" s="20" t="str">
        <x:v>Ninis Kesuma Adriani</x:v>
      </x:c>
      <x:c r="C7" s="20" t="str">
        <x:v>PT Pupuk Indonesia (Persero)</x:v>
      </x:c>
      <x:c r="D7" s="20" t="str">
        <x:v>Direktur Manajemen Risiko</x:v>
      </x:c>
      <x:c r="E7" s="20" t="str"/>
      <x:c r="F7" s="20" t="str">
        <x:v>Data Direksi per 30 Juni 2026</x:v>
      </x:c>
      <x:c r="G7" s="20" t="str">
        <x:v>Ya</x:v>
      </x:c>
      <x:c r="H7" s="20" t="str"/>
    </x:row>
    <x:row r="8">
      <x:c r="A8" s="20" t="str">
        <x:v>P-007</x:v>
      </x:c>
      <x:c r="B8" s="20" t="str">
        <x:v>Jamsaton Nababan</x:v>
      </x:c>
      <x:c r="C8" s="20" t="str">
        <x:v>PT Pupuk Indonesia (Persero)</x:v>
      </x:c>
      <x:c r="D8" s="20" t="str">
        <x:v>Direktur Teknik Dan Pengembangan Bisnis</x:v>
      </x:c>
      <x:c r="E8" s="20" t="str"/>
      <x:c r="F8" s="20" t="str">
        <x:v>Data Direksi per 30 Juni 2026</x:v>
      </x:c>
      <x:c r="G8" s="20" t="str">
        <x:v>Ya</x:v>
      </x:c>
      <x:c r="H8" s="20" t="str"/>
    </x:row>
    <x:row r="9">
      <x:c r="A9" s="20" t="str">
        <x:v>P-008</x:v>
      </x:c>
      <x:c r="B9" s="20" t="str">
        <x:v>Tri Wahyudi Saleh</x:v>
      </x:c>
      <x:c r="C9" s="20" t="str">
        <x:v>PT Pupuk Indonesia (Persero)</x:v>
      </x:c>
      <x:c r="D9" s="20" t="str">
        <x:v>Direktur Manajemen Aset</x:v>
      </x:c>
      <x:c r="E9" s="20" t="str"/>
      <x:c r="F9" s="20" t="str">
        <x:v>Data Direksi per 30 Juni 2026</x:v>
      </x:c>
      <x:c r="G9" s="20" t="str">
        <x:v>Ya</x:v>
      </x:c>
      <x:c r="H9" s="20" t="str"/>
    </x:row>
    <x:row r="10">
      <x:c r="A10" s="20" t="str">
        <x:v>P-009</x:v>
      </x:c>
      <x:c r="B10" s="20" t="str">
        <x:v>Rafli Yandra</x:v>
      </x:c>
      <x:c r="C10" s="20" t="str">
        <x:v>PT Pupuk Kalimantan Timur</x:v>
      </x:c>
      <x:c r="D10" s="20" t="str">
        <x:v>Direktur Utama</x:v>
      </x:c>
      <x:c r="E10" s="20" t="str"/>
      <x:c r="F10" s="20" t="str">
        <x:v>Data Direksi per 30 Juni 2026</x:v>
      </x:c>
      <x:c r="G10" s="20" t="str">
        <x:v>Ya</x:v>
      </x:c>
      <x:c r="H10" s="20" t="str"/>
    </x:row>
    <x:row r="11">
      <x:c r="A11" s="20" t="str">
        <x:v>P-010</x:v>
      </x:c>
      <x:c r="B11" s="20" t="str">
        <x:v>Andik Cahyanto Budiarto</x:v>
      </x:c>
      <x:c r="C11" s="20" t="str">
        <x:v>PT Pupuk Kalimantan Timur</x:v>
      </x:c>
      <x:c r="D11" s="20" t="str">
        <x:v>Direktur Keuangan Dan Umum</x:v>
      </x:c>
      <x:c r="E11" s="20" t="str"/>
      <x:c r="F11" s="20" t="str">
        <x:v>Data Direksi per 30 Juni 2026</x:v>
      </x:c>
      <x:c r="G11" s="20" t="str">
        <x:v>Ya</x:v>
      </x:c>
      <x:c r="H11" s="20" t="str"/>
    </x:row>
    <x:row r="12">
      <x:c r="A12" s="20" t="str">
        <x:v>P-011</x:v>
      </x:c>
      <x:c r="B12" s="20" t="str">
        <x:v>Teguh Ismartono</x:v>
      </x:c>
      <x:c r="C12" s="20" t="str">
        <x:v>PT Pupuk Kalimantan Timur</x:v>
      </x:c>
      <x:c r="D12" s="20" t="str">
        <x:v>Direktur Operasi Dan Produksi</x:v>
      </x:c>
      <x:c r="E12" s="20" t="str"/>
      <x:c r="F12" s="20" t="str">
        <x:v>Data Direksi per 30 Juni 2026</x:v>
      </x:c>
      <x:c r="G12" s="20" t="str">
        <x:v>Ya</x:v>
      </x:c>
      <x:c r="H12" s="20" t="str"/>
    </x:row>
    <x:row r="13">
      <x:c r="A13" s="20" t="str">
        <x:v>P-012</x:v>
      </x:c>
      <x:c r="B13" s="20" t="str">
        <x:v>Mohamad Agung</x:v>
      </x:c>
      <x:c r="C13" s="20" t="str">
        <x:v>PT Pupuk Kalimantan Timur</x:v>
      </x:c>
      <x:c r="D13" s="20" t="str">
        <x:v>Direktur Pengembangan</x:v>
      </x:c>
      <x:c r="E13" s="20" t="str"/>
      <x:c r="F13" s="20" t="str">
        <x:v>Data Direksi per 30 Juni 2026</x:v>
      </x:c>
      <x:c r="G13" s="20" t="str">
        <x:v>Ya</x:v>
      </x:c>
      <x:c r="H13" s="20" t="str"/>
    </x:row>
    <x:row r="14">
      <x:c r="A14" s="20" t="str">
        <x:v>P-013</x:v>
      </x:c>
      <x:c r="B14" s="20" t="str">
        <x:v>Maslani</x:v>
      </x:c>
      <x:c r="C14" s="20" t="str">
        <x:v>PT Pupuk Kalimantan Timur</x:v>
      </x:c>
      <x:c r="D14" s="20" t="str">
        <x:v>Direktur Manajemen Risiko</x:v>
      </x:c>
      <x:c r="E14" s="20" t="str"/>
      <x:c r="F14" s="20" t="str">
        <x:v>Data Direksi per 30 Juni 2026</x:v>
      </x:c>
      <x:c r="G14" s="20" t="str">
        <x:v>Ya</x:v>
      </x:c>
      <x:c r="H14" s="20" t="str"/>
    </x:row>
    <x:row r="15">
      <x:c r="A15" s="20" t="str">
        <x:v>P-014</x:v>
      </x:c>
      <x:c r="B15" s="20" t="str">
        <x:v>Daconi Khotob</x:v>
      </x:c>
      <x:c r="C15" s="20" t="str">
        <x:v>PT Petrokimia Gresik</x:v>
      </x:c>
      <x:c r="D15" s="20" t="str">
        <x:v>Direktur Utama</x:v>
      </x:c>
      <x:c r="E15" s="20" t="str"/>
      <x:c r="F15" s="20" t="str">
        <x:v>Data Direksi per 30 Juni 2026</x:v>
      </x:c>
      <x:c r="G15" s="20" t="str">
        <x:v>Ya</x:v>
      </x:c>
      <x:c r="H15" s="20" t="str"/>
    </x:row>
    <x:row r="16">
      <x:c r="A16" s="20" t="str">
        <x:v>P-015</x:v>
      </x:c>
      <x:c r="B16" s="20" t="str">
        <x:v>Majus Luther Sirait</x:v>
      </x:c>
      <x:c r="C16" s="20" t="str">
        <x:v>PT Petrokimia Gresik</x:v>
      </x:c>
      <x:c r="D16" s="20" t="str">
        <x:v>Direktur Operasi Dan Produksi</x:v>
      </x:c>
      <x:c r="E16" s="20" t="str"/>
      <x:c r="F16" s="20" t="str">
        <x:v>Data Direksi per 30 Juni 2026</x:v>
      </x:c>
      <x:c r="G16" s="20" t="str">
        <x:v>Ya</x:v>
      </x:c>
      <x:c r="H16" s="20" t="str"/>
    </x:row>
    <x:row r="17">
      <x:c r="A17" s="20" t="str">
        <x:v>P-016</x:v>
      </x:c>
      <x:c r="B17" s="20" t="str">
        <x:v>Adityo Wibowo</x:v>
      </x:c>
      <x:c r="C17" s="20" t="str">
        <x:v>PT Petrokimia Gresik</x:v>
      </x:c>
      <x:c r="D17" s="20" t="str">
        <x:v>Direktur Keuangan Dan Umum</x:v>
      </x:c>
      <x:c r="E17" s="20" t="str"/>
      <x:c r="F17" s="20" t="str">
        <x:v>Data Direksi per 30 Juni 2026</x:v>
      </x:c>
      <x:c r="G17" s="20" t="str">
        <x:v>Ya</x:v>
      </x:c>
      <x:c r="H17" s="20" t="str"/>
    </x:row>
    <x:row r="18">
      <x:c r="A18" s="20" t="str">
        <x:v>P-017</x:v>
      </x:c>
      <x:c r="B18" s="20" t="str">
        <x:v>M. Ihwan Fahrurrazi</x:v>
      </x:c>
      <x:c r="C18" s="20" t="str">
        <x:v>PT Petrokimia Gresik</x:v>
      </x:c>
      <x:c r="D18" s="20" t="str">
        <x:v>Direktur Manajemen Risiko</x:v>
      </x:c>
      <x:c r="E18" s="20" t="str"/>
      <x:c r="F18" s="20" t="str">
        <x:v>Data Direksi per 30 Juni 2026</x:v>
      </x:c>
      <x:c r="G18" s="20" t="str">
        <x:v>Ya</x:v>
      </x:c>
      <x:c r="H18" s="20" t="str"/>
    </x:row>
    <x:row r="19">
      <x:c r="A19" s="20" t="str">
        <x:v>P-018</x:v>
      </x:c>
      <x:c r="B19" s="20" t="str">
        <x:v>Herdijanto Utomo</x:v>
      </x:c>
      <x:c r="C19" s="20" t="str">
        <x:v>PT Petrokimia Gresik</x:v>
      </x:c>
      <x:c r="D19" s="20" t="str">
        <x:v>Direktur Pengembangan</x:v>
      </x:c>
      <x:c r="E19" s="20" t="str"/>
      <x:c r="F19" s="20" t="str">
        <x:v>Data Direksi per 30 Juni 2026</x:v>
      </x:c>
      <x:c r="G19" s="20" t="str">
        <x:v>Ya</x:v>
      </x:c>
      <x:c r="H19" s="20" t="str"/>
    </x:row>
    <x:row r="20">
      <x:c r="A20" s="20" t="str">
        <x:v>P-019</x:v>
      </x:c>
      <x:c r="B20" s="20" t="str">
        <x:v>Maryono</x:v>
      </x:c>
      <x:c r="C20" s="20" t="str">
        <x:v>PT Pupuk Sriwidjaja Palembang</x:v>
      </x:c>
      <x:c r="D20" s="20" t="str">
        <x:v>Direktur Utama</x:v>
      </x:c>
      <x:c r="E20" s="20" t="str"/>
      <x:c r="F20" s="20" t="str">
        <x:v>Data Direksi per 30 Juni 2026</x:v>
      </x:c>
      <x:c r="G20" s="20" t="str">
        <x:v>Ya</x:v>
      </x:c>
      <x:c r="H20" s="20" t="str"/>
    </x:row>
    <x:row r="21">
      <x:c r="A21" s="20" t="str">
        <x:v>P-020</x:v>
      </x:c>
      <x:c r="B21" s="20" t="str">
        <x:v>Zulyan Imansyah</x:v>
      </x:c>
      <x:c r="C21" s="20" t="str">
        <x:v>PT Pupuk Sriwidjaja Palembang</x:v>
      </x:c>
      <x:c r="D21" s="20" t="str">
        <x:v>Direktur Operasi Dan Produksi</x:v>
      </x:c>
      <x:c r="E21" s="20" t="str"/>
      <x:c r="F21" s="20" t="str">
        <x:v>Data Direksi per 30 Juni 2026</x:v>
      </x:c>
      <x:c r="G21" s="20" t="str">
        <x:v>Ya</x:v>
      </x:c>
      <x:c r="H21" s="20" t="str"/>
    </x:row>
    <x:row r="22">
      <x:c r="A22" s="20" t="str">
        <x:v>P-021</x:v>
      </x:c>
      <x:c r="B22" s="20" t="str">
        <x:v>R. Eric Juliana Rachman</x:v>
      </x:c>
      <x:c r="C22" s="20" t="str">
        <x:v>PT Pupuk Sriwidjaja Palembang</x:v>
      </x:c>
      <x:c r="D22" s="20" t="str">
        <x:v>Direktur Keuangan Dan Umum</x:v>
      </x:c>
      <x:c r="E22" s="20" t="str"/>
      <x:c r="F22" s="20" t="str">
        <x:v>Data Direksi per 30 Juni 2026</x:v>
      </x:c>
      <x:c r="G22" s="20" t="str">
        <x:v>Ya</x:v>
      </x:c>
      <x:c r="H22" s="20" t="str"/>
    </x:row>
    <x:row r="23">
      <x:c r="A23" s="20" t="str">
        <x:v>P-022</x:v>
      </x:c>
      <x:c r="B23" s="20" t="str">
        <x:v>Budi Mulia Utama Hasibuan</x:v>
      </x:c>
      <x:c r="C23" s="20" t="str">
        <x:v>PT Pupuk Sriwidjaja Palembang</x:v>
      </x:c>
      <x:c r="D23" s="20" t="str">
        <x:v>Direktur Manajemen Risiko</x:v>
      </x:c>
      <x:c r="E23" s="20" t="str"/>
      <x:c r="F23" s="20" t="str">
        <x:v>Data Direksi per 30 Juni 2026</x:v>
      </x:c>
      <x:c r="G23" s="20" t="str">
        <x:v>Ya</x:v>
      </x:c>
      <x:c r="H23" s="20" t="str"/>
    </x:row>
    <x:row r="24">
      <x:c r="A24" s="20" t="str">
        <x:v>P-023</x:v>
      </x:c>
      <x:c r="B24" s="20" t="str">
        <x:v>Filius Yuliandi</x:v>
      </x:c>
      <x:c r="C24" s="20" t="str">
        <x:v>PT Pupuk Iskandar Muda</x:v>
      </x:c>
      <x:c r="D24" s="20" t="str">
        <x:v>Direktur Utama</x:v>
      </x:c>
      <x:c r="E24" s="20" t="str"/>
      <x:c r="F24" s="20" t="str">
        <x:v>Data Direksi per 30 Juni 2026</x:v>
      </x:c>
      <x:c r="G24" s="20" t="str">
        <x:v>Ya</x:v>
      </x:c>
      <x:c r="H24" s="20" t="str"/>
    </x:row>
    <x:row r="25">
      <x:c r="A25" s="20" t="str">
        <x:v>P-024</x:v>
      </x:c>
      <x:c r="B25" s="20" t="str">
        <x:v>Guntur Prasetyo</x:v>
      </x:c>
      <x:c r="C25" s="20" t="str">
        <x:v>PT Pupuk Iskandar Muda</x:v>
      </x:c>
      <x:c r="D25" s="20" t="str">
        <x:v>Direktur Operasi Dan Produksi</x:v>
      </x:c>
      <x:c r="E25" s="20" t="str"/>
      <x:c r="F25" s="20" t="str">
        <x:v>Data Direksi per 30 Juni 2026</x:v>
      </x:c>
      <x:c r="G25" s="20" t="str">
        <x:v>Ya</x:v>
      </x:c>
      <x:c r="H25" s="20" t="str"/>
    </x:row>
    <x:row r="26">
      <x:c r="A26" s="20" t="str">
        <x:v>P-025</x:v>
      </x:c>
      <x:c r="B26" s="20" t="str">
        <x:v>Koko Sudiro</x:v>
      </x:c>
      <x:c r="C26" s="20" t="str">
        <x:v>PT Pupuk Iskandar Muda</x:v>
      </x:c>
      <x:c r="D26" s="20" t="str">
        <x:v>Direktur Keuangan Dan Umum</x:v>
      </x:c>
      <x:c r="E26" s="20" t="str"/>
      <x:c r="F26" s="20" t="str">
        <x:v>Data Direksi per 30 Juni 2026</x:v>
      </x:c>
      <x:c r="G26" s="20" t="str">
        <x:v>Ya</x:v>
      </x:c>
      <x:c r="H26" s="20" t="str"/>
    </x:row>
    <x:row r="27">
      <x:c r="A27" s="20" t="str">
        <x:v>P-026</x:v>
      </x:c>
      <x:c r="B27" s="20" t="str">
        <x:v>Maimun</x:v>
      </x:c>
      <x:c r="C27" s="20" t="str">
        <x:v>PT Pupuk Iskandar Muda</x:v>
      </x:c>
      <x:c r="D27" s="20" t="str">
        <x:v>Direktur Manajemen Risiko</x:v>
      </x:c>
      <x:c r="E27" s="20" t="str"/>
      <x:c r="F27" s="20" t="str">
        <x:v>Data Direksi per 30 Juni 2026</x:v>
      </x:c>
      <x:c r="G27" s="20" t="str">
        <x:v>Ya</x:v>
      </x:c>
      <x:c r="H27" s="20" t="str"/>
    </x:row>
    <x:row r="28">
      <x:c r="A28" s="20" t="str">
        <x:v>P-027</x:v>
      </x:c>
      <x:c r="B28" s="20" t="str">
        <x:v>Panji Winanteya Ruky</x:v>
      </x:c>
      <x:c r="C28" s="20" t="str">
        <x:v>PT Pupuk Kujang Cikampek</x:v>
      </x:c>
      <x:c r="D28" s="20" t="str">
        <x:v>Direktur Utama</x:v>
      </x:c>
      <x:c r="E28" s="20" t="str"/>
      <x:c r="F28" s="20" t="str">
        <x:v>Data Direksi per 30 Juni 2026</x:v>
      </x:c>
      <x:c r="G28" s="20" t="str">
        <x:v>Ya</x:v>
      </x:c>
      <x:c r="H28" s="20" t="str"/>
    </x:row>
    <x:row r="29">
      <x:c r="A29" s="20" t="str">
        <x:v>P-028</x:v>
      </x:c>
      <x:c r="B29" s="20" t="str">
        <x:v>Arlyza Eka Wijayanti</x:v>
      </x:c>
      <x:c r="C29" s="20" t="str">
        <x:v>PT Pupuk Kujang Cikampek</x:v>
      </x:c>
      <x:c r="D29" s="20" t="str">
        <x:v>Direktur Operasi Dan Produksi</x:v>
      </x:c>
      <x:c r="E29" s="20" t="str"/>
      <x:c r="F29" s="20" t="str">
        <x:v>Data Direksi per 30 Juni 2026</x:v>
      </x:c>
      <x:c r="G29" s="20" t="str">
        <x:v>Ya</x:v>
      </x:c>
      <x:c r="H29" s="20" t="str"/>
    </x:row>
    <x:row r="30">
      <x:c r="A30" s="20" t="str">
        <x:v>P-029</x:v>
      </x:c>
      <x:c r="B30" s="20" t="str">
        <x:v>Iyan Fajri</x:v>
      </x:c>
      <x:c r="C30" s="20" t="str">
        <x:v>PT Pupuk Kujang Cikampek</x:v>
      </x:c>
      <x:c r="D30" s="20" t="str">
        <x:v>Direktur Keuangan Dan Umum</x:v>
      </x:c>
      <x:c r="E30" s="20" t="str"/>
      <x:c r="F30" s="20" t="str">
        <x:v>Data Direksi per 30 Juni 2026</x:v>
      </x:c>
      <x:c r="G30" s="20" t="str">
        <x:v>Ya</x:v>
      </x:c>
      <x:c r="H30" s="20" t="str"/>
    </x:row>
    <x:row r="31">
      <x:c r="A31" s="20" t="str">
        <x:v>P-030</x:v>
      </x:c>
      <x:c r="B31" s="20" t="str">
        <x:v>Yana Nurahmad Haerudin</x:v>
      </x:c>
      <x:c r="C31" s="20" t="str">
        <x:v>PT Pupuk Kujang Cikampek</x:v>
      </x:c>
      <x:c r="D31" s="20" t="str">
        <x:v>Direktur Manajemen Risiko</x:v>
      </x:c>
      <x:c r="E31" s="20" t="str"/>
      <x:c r="F31" s="20" t="str">
        <x:v>Data Direksi per 30 Juni 2026</x:v>
      </x:c>
      <x:c r="G31" s="20" t="str">
        <x:v>Ya</x:v>
      </x:c>
      <x:c r="H31" s="20" t="str"/>
    </x:row>
    <x:row r="32">
      <x:c r="A32" s="20" t="str">
        <x:v>P-031</x:v>
      </x:c>
      <x:c r="B32" s="20" t="str">
        <x:v>Triyani Utaminingsih</x:v>
      </x:c>
      <x:c r="C32" s="20" t="str">
        <x:v>PT Rekayasa Industri</x:v>
      </x:c>
      <x:c r="D32" s="20" t="str">
        <x:v>Direktur Utama</x:v>
      </x:c>
      <x:c r="E32" s="20" t="str"/>
      <x:c r="F32" s="20" t="str">
        <x:v>Data Direksi per 30 Juni 2026</x:v>
      </x:c>
      <x:c r="G32" s="20" t="str">
        <x:v>Ya</x:v>
      </x:c>
      <x:c r="H32" s="20" t="str"/>
    </x:row>
    <x:row r="33">
      <x:c r="A33" s="20" t="str">
        <x:v>P-032</x:v>
      </x:c>
      <x:c r="B33" s="20" t="str">
        <x:v>Dedy Rinaldi</x:v>
      </x:c>
      <x:c r="C33" s="20" t="str">
        <x:v>PT Rekayasa Industri</x:v>
      </x:c>
      <x:c r="D33" s="20" t="str">
        <x:v>Direktur Keuangan Dan SDM</x:v>
      </x:c>
      <x:c r="E33" s="20" t="str"/>
      <x:c r="F33" s="20" t="str">
        <x:v>Data Direksi per 30 Juni 2026</x:v>
      </x:c>
      <x:c r="G33" s="20" t="str">
        <x:v>Ya</x:v>
      </x:c>
      <x:c r="H33" s="20" t="str"/>
    </x:row>
    <x:row r="34">
      <x:c r="A34" s="20" t="str">
        <x:v>P-033</x:v>
      </x:c>
      <x:c r="B34" s="20" t="str">
        <x:v>Yusairi</x:v>
      </x:c>
      <x:c r="C34" s="20" t="str">
        <x:v>PT Rekayasa Industri</x:v>
      </x:c>
      <x:c r="D34" s="20" t="str">
        <x:v>Direktur Operasi Dan Teknologi/Pengembangan</x:v>
      </x:c>
      <x:c r="E34" s="20" t="str"/>
      <x:c r="F34" s="20" t="str">
        <x:v>Data Direksi per 30 Juni 2026</x:v>
      </x:c>
      <x:c r="G34" s="20" t="str">
        <x:v>Ya</x:v>
      </x:c>
      <x:c r="H34" s="20" t="str"/>
    </x:row>
    <x:row r="35">
      <x:c r="A35" s="20" t="str">
        <x:v>P-034</x:v>
      </x:c>
      <x:c r="B35" s="20" t="str">
        <x:v>Yusuf Trudo H.D. M. Nainggolam</x:v>
      </x:c>
      <x:c r="C35" s="20" t="str">
        <x:v>PT Pupuk Indonesia Niaga</x:v>
      </x:c>
      <x:c r="D35" s="20" t="str">
        <x:v>Direktur Utama</x:v>
      </x:c>
      <x:c r="E35" s="20" t="str"/>
      <x:c r="F35" s="20" t="str">
        <x:v>Data Direksi per 30 Juni 2026</x:v>
      </x:c>
      <x:c r="G35" s="20" t="str">
        <x:v>Ya</x:v>
      </x:c>
      <x:c r="H35" s="20" t="str"/>
    </x:row>
    <x:row r="36">
      <x:c r="A36" s="20" t="str">
        <x:v>P-035</x:v>
      </x:c>
      <x:c r="B36" s="20" t="str">
        <x:v>Wijaya Laksana</x:v>
      </x:c>
      <x:c r="C36" s="20" t="str">
        <x:v>PT Pupuk Indonesia Logistik</x:v>
      </x:c>
      <x:c r="D36" s="20" t="str">
        <x:v>Direktur Utama</x:v>
      </x:c>
      <x:c r="E36" s="20" t="str"/>
      <x:c r="F36" s="20" t="str">
        <x:v>Data Direksi per 30 Juni 2026</x:v>
      </x:c>
      <x:c r="G36" s="20" t="str">
        <x:v>Ya</x:v>
      </x:c>
      <x:c r="H36" s="20" t="str"/>
    </x:row>
    <x:row r="37">
      <x:c r="A37" s="20" t="str">
        <x:v>P-036</x:v>
      </x:c>
      <x:c r="B37" s="20" t="str">
        <x:v>Hree Shanty Bayu</x:v>
      </x:c>
      <x:c r="C37" s="20" t="str">
        <x:v>PT Pupuk Indonesia Logistik</x:v>
      </x:c>
      <x:c r="D37" s="20" t="str">
        <x:v>Direktur Operasional Dan Pengembangan</x:v>
      </x:c>
      <x:c r="E37" s="20" t="str"/>
      <x:c r="F37" s="20" t="str">
        <x:v>Data Direksi per 30 Juni 2026</x:v>
      </x:c>
      <x:c r="G37" s="20" t="str">
        <x:v>Ya</x:v>
      </x:c>
      <x:c r="H37" s="20" t="str"/>
    </x:row>
    <x:row r="38">
      <x:c r="A38" s="20" t="str">
        <x:v>P-037</x:v>
      </x:c>
      <x:c r="B38" s="20" t="str">
        <x:v>Eriza Amranto</x:v>
      </x:c>
      <x:c r="C38" s="20" t="str">
        <x:v>PT Pupuk Indonesia Logistik</x:v>
      </x:c>
      <x:c r="D38" s="20" t="str">
        <x:v>Direktur Administrasi Dan Keuangan</x:v>
      </x:c>
      <x:c r="E38" s="20" t="str"/>
      <x:c r="F38" s="20" t="str">
        <x:v>Data Direksi per 30 Juni 2026</x:v>
      </x:c>
      <x:c r="G38" s="20" t="str">
        <x:v>Ya</x:v>
      </x:c>
      <x:c r="H38" s="20" t="str"/>
    </x:row>
    <x:row r="39">
      <x:c r="A39" s="20" t="str">
        <x:v>P-038</x:v>
      </x:c>
      <x:c r="B39" s="20" t="str">
        <x:v>Kiki Lukmanul Hakim</x:v>
      </x:c>
      <x:c r="C39" s="20" t="str">
        <x:v>PT Pupuk Indonesia Pangan</x:v>
      </x:c>
      <x:c r="D39" s="20" t="str">
        <x:v>Direktur Utama</x:v>
      </x:c>
      <x:c r="E39" s="20" t="str"/>
      <x:c r="F39" s="20" t="str">
        <x:v>Data Direksi per 30 Juni 2026</x:v>
      </x:c>
      <x:c r="G39" s="20" t="str">
        <x:v>Ya</x:v>
      </x:c>
      <x:c r="H39" s="20" t="str"/>
    </x:row>
    <x:row r="40">
      <x:c r="A40" s="20" t="str">
        <x:v>P-039</x:v>
      </x:c>
      <x:c r="B40" s="20" t="str">
        <x:v>Sudaryono</x:v>
      </x:c>
      <x:c r="C40" s="20" t="str">
        <x:v>PT Pupuk Indonesia (Persero)</x:v>
      </x:c>
      <x:c r="D40" s="20" t="str">
        <x:v>Komisaris Utama</x:v>
      </x:c>
      <x:c r="E40" s="20" t="str"/>
      <x:c r="F40" s="20" t="str">
        <x:v>Daftar Komisaris</x:v>
      </x:c>
      <x:c r="G40" s="20" t="str">
        <x:v>Ya</x:v>
      </x:c>
      <x:c r="H40" s="20" t="str">
        <x:v>Terverifikasi</x:v>
      </x:c>
    </x:row>
    <x:row r="41">
      <x:c r="A41" s="20" t="str">
        <x:v>P-040</x:v>
      </x:c>
      <x:c r="B41" s="20" t="str">
        <x:v>Iwan Sumule</x:v>
      </x:c>
      <x:c r="C41" s="20" t="str">
        <x:v>PT Pupuk Indonesia (Persero)</x:v>
      </x:c>
      <x:c r="D41" s="20" t="str">
        <x:v>Komisaris</x:v>
      </x:c>
      <x:c r="E41" s="20" t="str"/>
      <x:c r="F41" s="20" t="str">
        <x:v>Daftar Komisaris</x:v>
      </x:c>
      <x:c r="G41" s="20" t="str">
        <x:v>Ya</x:v>
      </x:c>
      <x:c r="H41" s="20" t="str">
        <x:v>Terverifikasi</x:v>
      </x:c>
    </x:row>
    <x:row r="42">
      <x:c r="A42" s="20" t="str">
        <x:v>P-041</x:v>
      </x:c>
      <x:c r="B42" s="20" t="str">
        <x:v>Suwandi</x:v>
      </x:c>
      <x:c r="C42" s="20" t="str">
        <x:v>PT Pupuk Indonesia (Persero)</x:v>
      </x:c>
      <x:c r="D42" s="20" t="str">
        <x:v>Komisaris</x:v>
      </x:c>
      <x:c r="E42" s="20" t="str"/>
      <x:c r="F42" s="20" t="str">
        <x:v>Daftar Komisaris</x:v>
      </x:c>
      <x:c r="G42" s="20" t="str">
        <x:v>Ya</x:v>
      </x:c>
      <x:c r="H42" s="20" t="str">
        <x:v>Terverifikasi</x:v>
      </x:c>
    </x:row>
    <x:row r="43">
      <x:c r="A43" s="20" t="str">
        <x:v>P-042</x:v>
      </x:c>
      <x:c r="B43" s="20" t="str">
        <x:v>Nurul Ichwan</x:v>
      </x:c>
      <x:c r="C43" s="20" t="str">
        <x:v>PT Pupuk Indonesia (Persero)</x:v>
      </x:c>
      <x:c r="D43" s="20" t="str">
        <x:v>Komisaris</x:v>
      </x:c>
      <x:c r="E43" s="20" t="str"/>
      <x:c r="F43" s="20" t="str">
        <x:v>Daftar Komisaris</x:v>
      </x:c>
      <x:c r="G43" s="20" t="str">
        <x:v>Ya</x:v>
      </x:c>
      <x:c r="H43" s="20" t="str">
        <x:v>Terverifikasi</x:v>
      </x:c>
    </x:row>
    <x:row r="44">
      <x:c r="A44" s="20" t="str">
        <x:v>P-043</x:v>
      </x:c>
      <x:c r="B44" s="20" t="str">
        <x:v>Dadan Kusdiana</x:v>
      </x:c>
      <x:c r="C44" s="20" t="str">
        <x:v>PT Pupuk Indonesia (Persero)</x:v>
      </x:c>
      <x:c r="D44" s="20" t="str">
        <x:v>Komisaris</x:v>
      </x:c>
      <x:c r="E44" s="20" t="str"/>
      <x:c r="F44" s="20" t="str">
        <x:v>Daftar Komisaris</x:v>
      </x:c>
      <x:c r="G44" s="20" t="str">
        <x:v>Ya</x:v>
      </x:c>
      <x:c r="H44" s="20" t="str">
        <x:v>Terverifikasi</x:v>
      </x:c>
    </x:row>
    <x:row r="45">
      <x:c r="A45" s="20" t="str">
        <x:v>P-044</x:v>
      </x:c>
      <x:c r="B45" s="20" t="str">
        <x:v>Yovie Widianto</x:v>
      </x:c>
      <x:c r="C45" s="20" t="str">
        <x:v>PT Pupuk Indonesia (Persero)</x:v>
      </x:c>
      <x:c r="D45" s="20" t="str">
        <x:v>Komisaris</x:v>
      </x:c>
      <x:c r="E45" s="20" t="str"/>
      <x:c r="F45" s="20" t="str">
        <x:v>Daftar Komisaris</x:v>
      </x:c>
      <x:c r="G45" s="20" t="str">
        <x:v>Ya</x:v>
      </x:c>
      <x:c r="H45" s="20" t="str">
        <x:v>Terverifikasi</x:v>
      </x:c>
    </x:row>
    <x:row r="46">
      <x:c r="A46" s="20" t="str">
        <x:v>P-045</x:v>
      </x:c>
      <x:c r="B46" s="20" t="str">
        <x:v>Rachlan S. Nashidik</x:v>
      </x:c>
      <x:c r="C46" s="20" t="str">
        <x:v>PT Pupuk Indonesia (Persero)</x:v>
      </x:c>
      <x:c r="D46" s="20" t="str">
        <x:v>Komisaris Independen</x:v>
      </x:c>
      <x:c r="E46" s="20" t="str"/>
      <x:c r="F46" s="20" t="str">
        <x:v>Daftar Komisaris</x:v>
      </x:c>
      <x:c r="G46" s="20" t="str">
        <x:v>Ya</x:v>
      </x:c>
      <x:c r="H46" s="20" t="str">
        <x:v>Terverifikasi</x:v>
      </x:c>
    </x:row>
    <x:row r="47">
      <x:c r="A47" s="20" t="str">
        <x:v>P-046</x:v>
      </x:c>
      <x:c r="B47" s="20" t="str">
        <x:v>Chrisna Deva Priyapratama</x:v>
      </x:c>
      <x:c r="C47" s="20" t="str">
        <x:v>PT Pupuk Indonesia (Persero)</x:v>
      </x:c>
      <x:c r="D47" s="20" t="str">
        <x:v>Komisaris Independen</x:v>
      </x:c>
      <x:c r="E47" s="20" t="str"/>
      <x:c r="F47" s="20" t="str">
        <x:v>Daftar Komisaris</x:v>
      </x:c>
      <x:c r="G47" s="20" t="str">
        <x:v>Ya</x:v>
      </x:c>
      <x:c r="H47" s="20" t="str">
        <x:v>Terverifikasi</x:v>
      </x:c>
    </x:row>
    <x:row r="48">
      <x:c r="A48" s="20" t="str">
        <x:v>P-047</x:v>
      </x:c>
      <x:c r="B48" s="20" t="str">
        <x:v>Irfan Ahmad Fauzi</x:v>
      </x:c>
      <x:c r="C48" s="20" t="str">
        <x:v>PT Pupuk Indonesia (Persero)</x:v>
      </x:c>
      <x:c r="D48" s="20" t="str">
        <x:v>Komisaris Independen</x:v>
      </x:c>
      <x:c r="E48" s="20" t="str"/>
      <x:c r="F48" s="20" t="str">
        <x:v>Daftar Komisaris</x:v>
      </x:c>
      <x:c r="G48" s="20" t="str">
        <x:v>Ya</x:v>
      </x:c>
      <x:c r="H48" s="20" t="str">
        <x:v>Terverifikasi</x:v>
      </x:c>
    </x:row>
    <x:row r="49">
      <x:c r="A49" s="20" t="str">
        <x:v>P-048</x:v>
      </x:c>
      <x:c r="B49" s="20" t="str">
        <x:v>D Andhi Nirwanto</x:v>
      </x:c>
      <x:c r="C49" s="20" t="str">
        <x:v>PT Pupuk Kalimantan Timur</x:v>
      </x:c>
      <x:c r="D49" s="20" t="str">
        <x:v>Komisaris Utama</x:v>
      </x:c>
      <x:c r="E49" s="20" t="str"/>
      <x:c r="F49" s="20" t="str">
        <x:v>Daftar Komisaris</x:v>
      </x:c>
      <x:c r="G49" s="20" t="str">
        <x:v>Ya</x:v>
      </x:c>
      <x:c r="H49" s="20" t="str">
        <x:v>Terverifikasi</x:v>
      </x:c>
    </x:row>
    <x:row r="50">
      <x:c r="A50" s="20" t="str">
        <x:v>P-049</x:v>
      </x:c>
      <x:c r="B50" s="20" t="str">
        <x:v>Azis Samual</x:v>
      </x:c>
      <x:c r="C50" s="20" t="str">
        <x:v>PT Pupuk Kalimantan Timur</x:v>
      </x:c>
      <x:c r="D50" s="20" t="str">
        <x:v>Komisaris</x:v>
      </x:c>
      <x:c r="E50" s="20" t="str"/>
      <x:c r="F50" s="20" t="str">
        <x:v>Daftar Komisaris</x:v>
      </x:c>
      <x:c r="G50" s="20" t="str">
        <x:v>Ya</x:v>
      </x:c>
      <x:c r="H50" s="20" t="str">
        <x:v>Terverifikasi</x:v>
      </x:c>
    </x:row>
    <x:row r="51">
      <x:c r="A51" s="20" t="str">
        <x:v>P-050</x:v>
      </x:c>
      <x:c r="B51" s="20" t="str">
        <x:v>Sukardi Rinakit</x:v>
      </x:c>
      <x:c r="C51" s="20" t="str">
        <x:v>PT Pupuk Kalimantan Timur</x:v>
      </x:c>
      <x:c r="D51" s="20" t="str">
        <x:v>Komisaris Independen</x:v>
      </x:c>
      <x:c r="E51" s="20" t="str"/>
      <x:c r="F51" s="20" t="str">
        <x:v>Daftar Komisaris</x:v>
      </x:c>
      <x:c r="G51" s="20" t="str">
        <x:v>Ya</x:v>
      </x:c>
      <x:c r="H51" s="20" t="str">
        <x:v>Terverifikasi</x:v>
      </x:c>
    </x:row>
    <x:row r="52">
      <x:c r="A52" s="20" t="str">
        <x:v>P-051</x:v>
      </x:c>
      <x:c r="B52" s="20" t="str">
        <x:v>Gustaaf A. C. Patty</x:v>
      </x:c>
      <x:c r="C52" s="20" t="str">
        <x:v>PT Pupuk Kalimantan Timur</x:v>
      </x:c>
      <x:c r="D52" s="20" t="str">
        <x:v>Komisaris Independen</x:v>
      </x:c>
      <x:c r="E52" s="20" t="str"/>
      <x:c r="F52" s="20" t="str">
        <x:v>Daftar Komisaris</x:v>
      </x:c>
      <x:c r="G52" s="20" t="str">
        <x:v>Ya</x:v>
      </x:c>
      <x:c r="H52" s="20" t="str">
        <x:v>Terverifikasi</x:v>
      </x:c>
    </x:row>
    <x:row r="53">
      <x:c r="A53" s="20" t="str">
        <x:v>P-052</x:v>
      </x:c>
      <x:c r="B53" s="20" t="str">
        <x:v>Etha Rimba Paembonan</x:v>
      </x:c>
      <x:c r="C53" s="20" t="str">
        <x:v>PT Pupuk Kalimantan Timur</x:v>
      </x:c>
      <x:c r="D53" s="20" t="str">
        <x:v>Komisaris Independen</x:v>
      </x:c>
      <x:c r="E53" s="20" t="str"/>
      <x:c r="F53" s="20" t="str">
        <x:v>Daftar Komisaris</x:v>
      </x:c>
      <x:c r="G53" s="20" t="str">
        <x:v>Ya</x:v>
      </x:c>
      <x:c r="H53" s="20" t="str">
        <x:v>Terverifikasi</x:v>
      </x:c>
    </x:row>
    <x:row r="54">
      <x:c r="A54" s="20" t="str">
        <x:v>P-053</x:v>
      </x:c>
      <x:c r="B54" s="20" t="str">
        <x:v>Musthofa</x:v>
      </x:c>
      <x:c r="C54" s="20" t="str">
        <x:v>PT Pupuk Kalimantan Timur</x:v>
      </x:c>
      <x:c r="D54" s="20" t="str">
        <x:v>Komisaris Independen</x:v>
      </x:c>
      <x:c r="E54" s="20" t="str"/>
      <x:c r="F54" s="20" t="str">
        <x:v>Daftar Komisaris</x:v>
      </x:c>
      <x:c r="G54" s="20" t="str">
        <x:v>Ya</x:v>
      </x:c>
      <x:c r="H54" s="20" t="str">
        <x:v>Terverifikasi</x:v>
      </x:c>
    </x:row>
    <x:row r="55">
      <x:c r="A55" s="20" t="str">
        <x:v>P-054</x:v>
      </x:c>
      <x:c r="B55" s="20" t="str">
        <x:v>Suhardi Alius</x:v>
      </x:c>
      <x:c r="C55" s="20" t="str">
        <x:v>PT Petrokimia Gresik</x:v>
      </x:c>
      <x:c r="D55" s="20" t="str">
        <x:v>Komisaris Utama merangkap Komisaris Independen</x:v>
      </x:c>
      <x:c r="E55" s="20" t="str"/>
      <x:c r="F55" s="20" t="str">
        <x:v>Daftar Komisaris</x:v>
      </x:c>
      <x:c r="G55" s="20" t="str">
        <x:v>Ya</x:v>
      </x:c>
      <x:c r="H55" s="20" t="str">
        <x:v>Terverifikasi</x:v>
      </x:c>
    </x:row>
    <x:row r="56">
      <x:c r="A56" s="20" t="str">
        <x:v>P-055</x:v>
      </x:c>
      <x:c r="B56" s="20" t="str">
        <x:v>Viva Yoga Mauladi</x:v>
      </x:c>
      <x:c r="C56" s="20" t="str">
        <x:v>PT Petrokimia Gresik</x:v>
      </x:c>
      <x:c r="D56" s="20" t="str">
        <x:v>Komisaris</x:v>
      </x:c>
      <x:c r="E56" s="20" t="str"/>
      <x:c r="F56" s="20" t="str">
        <x:v>Daftar Komisaris</x:v>
      </x:c>
      <x:c r="G56" s="20" t="str">
        <x:v>Ya</x:v>
      </x:c>
      <x:c r="H56" s="20" t="str">
        <x:v>Terverifikasi</x:v>
      </x:c>
    </x:row>
    <x:row r="57">
      <x:c r="A57" s="20" t="str">
        <x:v>P-056</x:v>
      </x:c>
      <x:c r="B57" s="20" t="str">
        <x:v>Andi Saiful Haq</x:v>
      </x:c>
      <x:c r="C57" s="20" t="str">
        <x:v>PT Petrokimia Gresik</x:v>
      </x:c>
      <x:c r="D57" s="20" t="str">
        <x:v>Komisaris</x:v>
      </x:c>
      <x:c r="E57" s="20" t="str"/>
      <x:c r="F57" s="20" t="str">
        <x:v>Daftar Komisaris</x:v>
      </x:c>
      <x:c r="G57" s="20" t="str">
        <x:v>Ya</x:v>
      </x:c>
      <x:c r="H57" s="20" t="str">
        <x:v>Terverifikasi</x:v>
      </x:c>
    </x:row>
    <x:row r="58">
      <x:c r="A58" s="20" t="str">
        <x:v>P-057</x:v>
      </x:c>
      <x:c r="B58" s="20" t="str">
        <x:v>Luluk Nur Hamidah</x:v>
      </x:c>
      <x:c r="C58" s="20" t="str">
        <x:v>PT Petrokimia Gresik</x:v>
      </x:c>
      <x:c r="D58" s="20" t="str">
        <x:v>Komisaris Independen</x:v>
      </x:c>
      <x:c r="E58" s="20" t="str"/>
      <x:c r="F58" s="20" t="str">
        <x:v>Daftar Komisaris</x:v>
      </x:c>
      <x:c r="G58" s="20" t="str">
        <x:v>Ya</x:v>
      </x:c>
      <x:c r="H58" s="20" t="str">
        <x:v>Terverifikasi</x:v>
      </x:c>
    </x:row>
    <x:row r="59">
      <x:c r="A59" s="20" t="str">
        <x:v>P-058</x:v>
      </x:c>
      <x:c r="B59" s="20" t="str">
        <x:v>Zaki Saleh Masyhur</x:v>
      </x:c>
      <x:c r="C59" s="20" t="str">
        <x:v>PT Petrokimia Gresik</x:v>
      </x:c>
      <x:c r="D59" s="20" t="str">
        <x:v>Komisaris Independen</x:v>
      </x:c>
      <x:c r="E59" s="20" t="str"/>
      <x:c r="F59" s="20" t="str">
        <x:v>Daftar Komisaris</x:v>
      </x:c>
      <x:c r="G59" s="20" t="str">
        <x:v>Ya</x:v>
      </x:c>
      <x:c r="H59" s="20" t="str">
        <x:v>Terverifikasi</x:v>
      </x:c>
    </x:row>
    <x:row r="60">
      <x:c r="A60" s="20" t="str">
        <x:v>P-059</x:v>
      </x:c>
      <x:c r="B60" s="20" t="str">
        <x:v>Siti Nurizka Puteri Jaya</x:v>
      </x:c>
      <x:c r="C60" s="20" t="str">
        <x:v>PT Pupuk Sriwidjaja Palembang</x:v>
      </x:c>
      <x:c r="D60" s="20" t="str">
        <x:v>Komisaris Utama</x:v>
      </x:c>
      <x:c r="E60" s="20" t="str"/>
      <x:c r="F60" s="20" t="str">
        <x:v>Daftar Komisaris</x:v>
      </x:c>
      <x:c r="G60" s="20" t="str">
        <x:v>Ya</x:v>
      </x:c>
      <x:c r="H60" s="20" t="str">
        <x:v>Terverifikasi</x:v>
      </x:c>
    </x:row>
    <x:row r="61">
      <x:c r="A61" s="20" t="str">
        <x:v>P-060</x:v>
      </x:c>
      <x:c r="B61" s="20" t="str">
        <x:v>Sally Salamah</x:v>
      </x:c>
      <x:c r="C61" s="20" t="str">
        <x:v>PT Pupuk Sriwidjaja Palembang</x:v>
      </x:c>
      <x:c r="D61" s="20" t="str">
        <x:v>Komisaris</x:v>
      </x:c>
      <x:c r="E61" s="20" t="str"/>
      <x:c r="F61" s="20" t="str">
        <x:v>Daftar Komisaris</x:v>
      </x:c>
      <x:c r="G61" s="20" t="str">
        <x:v>Ya</x:v>
      </x:c>
      <x:c r="H61" s="20" t="str">
        <x:v>Terverifikasi</x:v>
      </x:c>
    </x:row>
    <x:row r="62">
      <x:c r="A62" s="20" t="str">
        <x:v>P-061</x:v>
      </x:c>
      <x:c r="B62" s="20" t="str">
        <x:v>Fadjar Judisiawan</x:v>
      </x:c>
      <x:c r="C62" s="20" t="str">
        <x:v>PT Pupuk Sriwidjaja Palembang</x:v>
      </x:c>
      <x:c r="D62" s="20" t="str">
        <x:v>Komisaris</x:v>
      </x:c>
      <x:c r="E62" s="20" t="str"/>
      <x:c r="F62" s="20" t="str">
        <x:v>Daftar Komisaris</x:v>
      </x:c>
      <x:c r="G62" s="20" t="str">
        <x:v>Ya</x:v>
      </x:c>
      <x:c r="H62" s="20" t="str">
        <x:v>Terverifikasi</x:v>
      </x:c>
    </x:row>
    <x:row r="63">
      <x:c r="A63" s="20" t="str">
        <x:v>P-062</x:v>
      </x:c>
      <x:c r="B63" s="20" t="str">
        <x:v>Muhammad Syakir</x:v>
      </x:c>
      <x:c r="C63" s="20" t="str">
        <x:v>PT Pupuk Sriwidjaja Palembang</x:v>
      </x:c>
      <x:c r="D63" s="20" t="str">
        <x:v>Komisaris</x:v>
      </x:c>
      <x:c r="E63" s="20" t="str"/>
      <x:c r="F63" s="20" t="str">
        <x:v>Daftar Komisaris</x:v>
      </x:c>
      <x:c r="G63" s="20" t="str">
        <x:v>Ya</x:v>
      </x:c>
      <x:c r="H63" s="20" t="str">
        <x:v>Terverifikasi</x:v>
      </x:c>
    </x:row>
    <x:row r="64">
      <x:c r="A64" s="20" t="str">
        <x:v>P-063</x:v>
      </x:c>
      <x:c r="B64" s="20" t="str">
        <x:v>Arteria Dahlan</x:v>
      </x:c>
      <x:c r="C64" s="20" t="str">
        <x:v>PT Pupuk Sriwidjaja Palembang</x:v>
      </x:c>
      <x:c r="D64" s="20" t="str">
        <x:v>Komisaris</x:v>
      </x:c>
      <x:c r="E64" s="20" t="str"/>
      <x:c r="F64" s="20" t="str">
        <x:v>Daftar Komisaris</x:v>
      </x:c>
      <x:c r="G64" s="20" t="str">
        <x:v>Ya</x:v>
      </x:c>
      <x:c r="H64" s="20" t="str">
        <x:v>Terverifikasi</x:v>
      </x:c>
    </x:row>
    <x:row r="65">
      <x:c r="A65" s="20" t="str">
        <x:v>P-064</x:v>
      </x:c>
      <x:c r="B65" s="20" t="str">
        <x:v>Mohamad Idris Laena</x:v>
      </x:c>
      <x:c r="C65" s="20" t="str">
        <x:v>PT Pupuk Sriwidjaja Palembang</x:v>
      </x:c>
      <x:c r="D65" s="20" t="str">
        <x:v>Komisaris Independen</x:v>
      </x:c>
      <x:c r="E65" s="20" t="str"/>
      <x:c r="F65" s="20" t="str">
        <x:v>Daftar Komisaris</x:v>
      </x:c>
      <x:c r="G65" s="20" t="str">
        <x:v>Ya</x:v>
      </x:c>
      <x:c r="H65" s="20" t="str">
        <x:v>Terverifikasi</x:v>
      </x:c>
    </x:row>
    <x:row r="66">
      <x:c r="A66" s="20" t="str">
        <x:v>P-065</x:v>
      </x:c>
      <x:c r="B66" s="20" t="str">
        <x:v>Teddy Gusnaidi</x:v>
      </x:c>
      <x:c r="C66" s="20" t="str">
        <x:v>PT Pupuk Sriwidjaja Palembang</x:v>
      </x:c>
      <x:c r="D66" s="20" t="str">
        <x:v>Komisaris Independen</x:v>
      </x:c>
      <x:c r="E66" s="20" t="str"/>
      <x:c r="F66" s="20" t="str">
        <x:v>Daftar Komisaris</x:v>
      </x:c>
      <x:c r="G66" s="20" t="str">
        <x:v>Ya</x:v>
      </x:c>
      <x:c r="H66" s="20" t="str">
        <x:v>Terverifikasi</x:v>
      </x:c>
    </x:row>
    <x:row r="67">
      <x:c r="A67" s="20" t="str">
        <x:v>P-066</x:v>
      </x:c>
      <x:c r="B67" s="20" t="str">
        <x:v>Sripeni Inten Cahyani</x:v>
      </x:c>
      <x:c r="C67" s="20" t="str">
        <x:v>PT Pupuk Kujang Cikampek</x:v>
      </x:c>
      <x:c r="D67" s="20" t="str">
        <x:v>Komisaris Utama</x:v>
      </x:c>
      <x:c r="E67" s="20" t="str"/>
      <x:c r="F67" s="20" t="str">
        <x:v>Daftar Komisaris</x:v>
      </x:c>
      <x:c r="G67" s="20" t="str">
        <x:v>Ya</x:v>
      </x:c>
      <x:c r="H67" s="20" t="str">
        <x:v>Terverifikasi</x:v>
      </x:c>
    </x:row>
    <x:row r="68">
      <x:c r="A68" s="20" t="str">
        <x:v>P-067</x:v>
      </x:c>
      <x:c r="B68" s="20" t="str">
        <x:v>Gati Wibawaningsih</x:v>
      </x:c>
      <x:c r="C68" s="20" t="str">
        <x:v>PT Pupuk Kujang Cikampek</x:v>
      </x:c>
      <x:c r="D68" s="20" t="str">
        <x:v>Komisaris</x:v>
      </x:c>
      <x:c r="E68" s="20" t="str"/>
      <x:c r="F68" s="20" t="str">
        <x:v>Daftar Komisaris</x:v>
      </x:c>
      <x:c r="G68" s="20" t="str">
        <x:v>Ya</x:v>
      </x:c>
      <x:c r="H68" s="20" t="str">
        <x:v>Terverifikasi</x:v>
      </x:c>
    </x:row>
    <x:row r="69">
      <x:c r="A69" s="20" t="str">
        <x:v>P-068</x:v>
      </x:c>
      <x:c r="B69" s="20" t="str">
        <x:v>Rachman Ferry Isfianto</x:v>
      </x:c>
      <x:c r="C69" s="20" t="str">
        <x:v>PT Pupuk Kujang Cikampek</x:v>
      </x:c>
      <x:c r="D69" s="20" t="str">
        <x:v>Komisaris</x:v>
      </x:c>
      <x:c r="E69" s="20" t="str"/>
      <x:c r="F69" s="20" t="str">
        <x:v>Daftar Komisaris</x:v>
      </x:c>
      <x:c r="G69" s="20" t="str">
        <x:v>Ya</x:v>
      </x:c>
      <x:c r="H69" s="20" t="str">
        <x:v>Terverifikasi</x:v>
      </x:c>
    </x:row>
    <x:row r="70">
      <x:c r="A70" s="20" t="str">
        <x:v>P-069</x:v>
      </x:c>
      <x:c r="B70" s="20" t="str">
        <x:v>Riad Oscha Chalik</x:v>
      </x:c>
      <x:c r="C70" s="20" t="str">
        <x:v>PT Pupuk Kujang Cikampek</x:v>
      </x:c>
      <x:c r="D70" s="20" t="str">
        <x:v>Komisaris Independen</x:v>
      </x:c>
      <x:c r="E70" s="20" t="str"/>
      <x:c r="F70" s="20" t="str">
        <x:v>Daftar Komisaris</x:v>
      </x:c>
      <x:c r="G70" s="20" t="str">
        <x:v>Ya</x:v>
      </x:c>
      <x:c r="H70" s="20" t="str">
        <x:v>Terverifikasi</x:v>
      </x:c>
    </x:row>
    <x:row r="71">
      <x:c r="A71" s="20" t="str">
        <x:v>P-070</x:v>
      </x:c>
      <x:c r="B71" s="20" t="str">
        <x:v>Mahmud Nurwindu</x:v>
      </x:c>
      <x:c r="C71" s="20" t="str">
        <x:v>PT Pupuk Kujang Cikampek</x:v>
      </x:c>
      <x:c r="D71" s="20" t="str">
        <x:v>Komisaris Independen</x:v>
      </x:c>
      <x:c r="E71" s="20" t="str"/>
      <x:c r="F71" s="20" t="str">
        <x:v>Daftar Komisaris</x:v>
      </x:c>
      <x:c r="G71" s="20" t="str">
        <x:v>Ya</x:v>
      </x:c>
      <x:c r="H71" s="20" t="str">
        <x:v>Terverifikasi</x:v>
      </x:c>
    </x:row>
    <x:row r="72">
      <x:c r="A72" s="20" t="str">
        <x:v>P-071</x:v>
      </x:c>
      <x:c r="B72" s="20" t="str">
        <x:v>Dody Widodo</x:v>
      </x:c>
      <x:c r="C72" s="20" t="str">
        <x:v>PT Rekayasa Industri</x:v>
      </x:c>
      <x:c r="D72" s="20" t="str">
        <x:v>Komisaris Utama</x:v>
      </x:c>
      <x:c r="E72" s="20" t="str"/>
      <x:c r="F72" s="20" t="str">
        <x:v>Daftar Komisaris</x:v>
      </x:c>
      <x:c r="G72" s="20" t="str">
        <x:v>Ya</x:v>
      </x:c>
      <x:c r="H72" s="20" t="str">
        <x:v>Terverifikasi</x:v>
      </x:c>
    </x:row>
    <x:row r="73">
      <x:c r="A73" s="20" t="str">
        <x:v>P-072</x:v>
      </x:c>
      <x:c r="B73" s="20" t="str">
        <x:v>Maret Samuel Sueken</x:v>
      </x:c>
      <x:c r="C73" s="20" t="str">
        <x:v>PT Rekayasa Industri</x:v>
      </x:c>
      <x:c r="D73" s="20" t="str">
        <x:v>Komisaris Independen</x:v>
      </x:c>
      <x:c r="E73" s="20" t="str"/>
      <x:c r="F73" s="20" t="str">
        <x:v>Daftar Komisaris</x:v>
      </x:c>
      <x:c r="G73" s="20" t="str">
        <x:v>Ya</x:v>
      </x:c>
      <x:c r="H73" s="20" t="str">
        <x:v>Terverifikasi</x:v>
      </x:c>
    </x:row>
    <x:row r="74">
      <x:c r="A74" s="20" t="str">
        <x:v>P-073</x:v>
      </x:c>
      <x:c r="B74" s="20" t="str">
        <x:v>Rudi Rusli</x:v>
      </x:c>
      <x:c r="C74" s="20" t="str">
        <x:v>PT Pupuk Indonesia Logistik</x:v>
      </x:c>
      <x:c r="D74" s="20" t="str">
        <x:v>Komisaris Utama</x:v>
      </x:c>
      <x:c r="E74" s="20" t="str"/>
      <x:c r="F74" s="20" t="str">
        <x:v>Daftar Komisaris</x:v>
      </x:c>
      <x:c r="G74" s="20" t="str">
        <x:v>Ya</x:v>
      </x:c>
      <x:c r="H74" s="20" t="str">
        <x:v>Terverifikasi</x:v>
      </x:c>
    </x:row>
    <x:row r="75">
      <x:c r="A75" s="20" t="str">
        <x:v>P-074</x:v>
      </x:c>
      <x:c r="B75" s="20" t="str">
        <x:v>Aridayanto Kusumayuda</x:v>
      </x:c>
      <x:c r="C75" s="20" t="str">
        <x:v>PT Pupuk Indonesia Logistik</x:v>
      </x:c>
      <x:c r="D75" s="20" t="str">
        <x:v>Anggota Dewan Komisaris</x:v>
      </x:c>
      <x:c r="E75" s="20" t="str"/>
      <x:c r="F75" s="20" t="str">
        <x:v>Daftar Komisaris</x:v>
      </x:c>
      <x:c r="G75" s="20" t="str">
        <x:v>Ya</x:v>
      </x:c>
      <x:c r="H75" s="20" t="str">
        <x:v>Nomenklatur jabatan belum diperinci pada laman sumber</x:v>
      </x:c>
    </x:row>
    <x:row r="76">
      <x:c r="A76" s="20" t="str">
        <x:v>P-075</x:v>
      </x:c>
      <x:c r="B76" s="20" t="str">
        <x:v>Sandra Firmania</x:v>
      </x:c>
      <x:c r="C76" s="20" t="str">
        <x:v>PT Pupuk Indonesia Niaga</x:v>
      </x:c>
      <x:c r="D76" s="20" t="str">
        <x:v>Komisaris Utama</x:v>
      </x:c>
      <x:c r="E76" s="20" t="str"/>
      <x:c r="F76" s="20" t="str">
        <x:v>Daftar Komisaris</x:v>
      </x:c>
      <x:c r="G76" s="20" t="str">
        <x:v>Ya</x:v>
      </x:c>
      <x:c r="H76" s="20" t="str">
        <x:v>Susunan anggota komisaris lainnya belum dipublikasikan secara lengkap</x:v>
      </x:c>
    </x:row>
    <x:row r="77">
      <x:c r="A77" s="20" t="str">
        <x:v>P-076</x:v>
      </x:c>
      <x:c r="B77" s="20" t="str">
        <x:v>Marzuki Daud</x:v>
      </x:c>
      <x:c r="C77" s="20" t="str">
        <x:v>PT Pupuk Iskandar Muda</x:v>
      </x:c>
      <x:c r="D77" s="20" t="str">
        <x:v>Komisaris Utama</x:v>
      </x:c>
      <x:c r="E77" s="20" t="str"/>
      <x:c r="F77" s="20" t="str">
        <x:v>Daftar Komisaris</x:v>
      </x:c>
      <x:c r="G77" s="20" t="str">
        <x:v>Ya</x:v>
      </x:c>
      <x:c r="H77" s="20" t="str">
        <x:v>Terverifikasi</x:v>
      </x:c>
    </x:row>
    <x:row r="78">
      <x:c r="A78" s="20" t="str">
        <x:v>P-077</x:v>
      </x:c>
      <x:c r="B78" s="20" t="str">
        <x:v>Supardiyanto</x:v>
      </x:c>
      <x:c r="C78" s="20" t="str">
        <x:v>PT Pupuk Iskandar Muda</x:v>
      </x:c>
      <x:c r="D78" s="20" t="str">
        <x:v>Komisaris</x:v>
      </x:c>
      <x:c r="E78" s="20" t="str"/>
      <x:c r="F78" s="20" t="str">
        <x:v>Daftar Komisaris</x:v>
      </x:c>
      <x:c r="G78" s="20" t="str">
        <x:v>Ya</x:v>
      </x:c>
      <x:c r="H78" s="20" t="str">
        <x:v>Terverifikasi</x:v>
      </x:c>
    </x:row>
    <x:row r="79">
      <x:c r="A79" s="20" t="str">
        <x:v>P-078</x:v>
      </x:c>
      <x:c r="B79" s="20" t="str">
        <x:v>Zulmahdi Hasan</x:v>
      </x:c>
      <x:c r="C79" s="20" t="str">
        <x:v>PT Pupuk Iskandar Muda</x:v>
      </x:c>
      <x:c r="D79" s="20" t="str">
        <x:v>Komisaris</x:v>
      </x:c>
      <x:c r="E79" s="20" t="str"/>
      <x:c r="F79" s="20" t="str">
        <x:v>Daftar Komisaris</x:v>
      </x:c>
      <x:c r="G79" s="20" t="str">
        <x:v>Ya</x:v>
      </x:c>
      <x:c r="H79" s="20" t="str">
        <x:v>Terverifikasi</x:v>
      </x:c>
    </x:row>
    <x:row r="80">
      <x:c r="A80" s="20" t="str">
        <x:v>P-079</x:v>
      </x:c>
      <x:c r="B80" s="20" t="str">
        <x:v>Teuku Asmoni</x:v>
      </x:c>
      <x:c r="C80" s="20" t="str">
        <x:v>PT Pupuk Iskandar Muda</x:v>
      </x:c>
      <x:c r="D80" s="20" t="str">
        <x:v>Komisaris Independen</x:v>
      </x:c>
      <x:c r="E80" s="20" t="str"/>
      <x:c r="F80" s="20" t="str">
        <x:v>Daftar Komisaris</x:v>
      </x:c>
      <x:c r="G80" s="20" t="str">
        <x:v>Ya</x:v>
      </x:c>
      <x:c r="H80" s="20" t="str">
        <x:v>Terverifikasi</x:v>
      </x:c>
    </x:row>
    <x:row r="81">
      <x:c r="A81" s="20" t="str">
        <x:v>P-080</x:v>
      </x:c>
      <x:c r="B81" s="20" t="str">
        <x:v>Eko Dafid Afianto</x:v>
      </x:c>
      <x:c r="C81" s="20" t="str">
        <x:v>PT Pupuk Iskandar Muda</x:v>
      </x:c>
      <x:c r="D81" s="20" t="str">
        <x:v>Komisaris Independen</x:v>
      </x:c>
      <x:c r="E81" s="20" t="str"/>
      <x:c r="F81" s="20" t="str">
        <x:v>Daftar Komisaris</x:v>
      </x:c>
      <x:c r="G81" s="20" t="str">
        <x:v>Ya</x:v>
      </x:c>
      <x:c r="H81" s="20" t="str">
        <x:v>Terverifikasi</x:v>
      </x:c>
    </x:row>
    <x:row r="82">
      <x:c r="A82" s="20" t="str">
        <x:v>P-081</x:v>
      </x:c>
      <x:c r="B82" s="20" t="str">
        <x:v>Teuku Muhammad Nurlif</x:v>
      </x:c>
      <x:c r="C82" s="20" t="str">
        <x:v>PT Pupuk Iskandar Muda</x:v>
      </x:c>
      <x:c r="D82" s="20" t="str">
        <x:v>Komisaris Independen</x:v>
      </x:c>
      <x:c r="E82" s="20" t="str"/>
      <x:c r="F82" s="20" t="str">
        <x:v>Daftar Komisaris</x:v>
      </x:c>
      <x:c r="G82" s="20" t="str">
        <x:v>Ya</x:v>
      </x:c>
      <x:c r="H82" s="20" t="str">
        <x:v>Terverifikasi</x:v>
      </x:c>
    </x:row>
    <x:row r="83">
      <x:c r="A83" s="20" t="str">
        <x:v>P-082</x:v>
      </x:c>
      <x:c r="B83" s="20" t="str">
        <x:v>Direktur Keuangan &amp; Umum</x:v>
      </x:c>
      <x:c r="C83" s="20" t="str">
        <x:v>PT Pupuk Iskandar Muda</x:v>
      </x:c>
      <x:c r="D83" s="20" t="str">
        <x:v>Penanggung Jawab - Penanggung Jawab</x:v>
      </x:c>
      <x:c r="E83" s="20" t="str"/>
      <x:c r="F83" s="20" t="str">
        <x:v>MD Panitia</x:v>
      </x:c>
      <x:c r="G83" s="20" t="str">
        <x:v>Ya</x:v>
      </x:c>
      <x:c r="H83" s="20" t="str"/>
    </x:row>
    <x:row r="84">
      <x:c r="A84" s="20" t="str">
        <x:v>P-083</x:v>
      </x:c>
      <x:c r="B84" s="20" t="str">
        <x:v>Sekretaris Perusahaan</x:v>
      </x:c>
      <x:c r="C84" s="20" t="str">
        <x:v>PT Pupuk Iskandar Muda</x:v>
      </x:c>
      <x:c r="D84" s="20" t="str">
        <x:v>Anggota - Steering Committee</x:v>
      </x:c>
      <x:c r="E84" s="20" t="str"/>
      <x:c r="F84" s="20" t="str">
        <x:v>MD Panitia</x:v>
      </x:c>
      <x:c r="G84" s="20" t="str">
        <x:v>Ya</x:v>
      </x:c>
      <x:c r="H84" s="20" t="str"/>
    </x:row>
    <x:row r="85">
      <x:c r="A85" s="20" t="str">
        <x:v>P-084</x:v>
      </x:c>
      <x:c r="B85" s="20" t="str">
        <x:v>SVP Manajemen Keuangan &amp; Mitra Bisnis</x:v>
      </x:c>
      <x:c r="C85" s="20" t="str">
        <x:v>PT Pupuk Iskandar Muda</x:v>
      </x:c>
      <x:c r="D85" s="20" t="str">
        <x:v>Anggota - Steering Committee</x:v>
      </x:c>
      <x:c r="E85" s="20" t="str"/>
      <x:c r="F85" s="20" t="str">
        <x:v>MD Panitia</x:v>
      </x:c>
      <x:c r="G85" s="20" t="str">
        <x:v>Ya</x:v>
      </x:c>
      <x:c r="H85" s="20" t="str"/>
    </x:row>
    <x:row r="86">
      <x:c r="A86" s="20" t="str">
        <x:v>P-085</x:v>
      </x:c>
      <x:c r="B86" s="20" t="str">
        <x:v>SVP Manajemen Logistik &amp; Umum</x:v>
      </x:c>
      <x:c r="C86" s="20" t="str">
        <x:v>PT Pupuk Iskandar Muda</x:v>
      </x:c>
      <x:c r="D86" s="20" t="str">
        <x:v>Anggota - Steering Committee</x:v>
      </x:c>
      <x:c r="E86" s="20" t="str"/>
      <x:c r="F86" s="20" t="str">
        <x:v>MD Panitia</x:v>
      </x:c>
      <x:c r="G86" s="20" t="str">
        <x:v>Ya</x:v>
      </x:c>
      <x:c r="H86" s="20" t="str"/>
    </x:row>
    <x:row r="87">
      <x:c r="A87" s="20" t="str">
        <x:v>P-086</x:v>
      </x:c>
      <x:c r="B87" s="20" t="str">
        <x:v>SVP Operasi</x:v>
      </x:c>
      <x:c r="C87" s="20" t="str">
        <x:v>PT Pupuk Iskandar Muda</x:v>
      </x:c>
      <x:c r="D87" s="20" t="str">
        <x:v>Anggota - Steering Committee</x:v>
      </x:c>
      <x:c r="E87" s="20" t="str"/>
      <x:c r="F87" s="20" t="str">
        <x:v>MD Panitia</x:v>
      </x:c>
      <x:c r="G87" s="20" t="str">
        <x:v>Ya</x:v>
      </x:c>
      <x:c r="H87" s="20" t="str"/>
    </x:row>
    <x:row r="88">
      <x:c r="A88" s="20" t="str">
        <x:v>P-087</x:v>
      </x:c>
      <x:c r="B88" s="20" t="str">
        <x:v>Heri Afriadi Aka</x:v>
      </x:c>
      <x:c r="C88" s="20" t="str">
        <x:v>PT Pupuk Iskandar Muda</x:v>
      </x:c>
      <x:c r="D88" s="20" t="str">
        <x:v>Ketua - Panitia Inti</x:v>
      </x:c>
      <x:c r="E88" s="20" t="str">
        <x:v>5121982</x:v>
      </x:c>
      <x:c r="F88" s="20" t="str">
        <x:v>MD Panitia</x:v>
      </x:c>
      <x:c r="G88" s="20" t="str">
        <x:v>Ya</x:v>
      </x:c>
      <x:c r="H88" s="20" t="str"/>
    </x:row>
    <x:row r="89">
      <x:c r="A89" s="20" t="str">
        <x:v>P-088</x:v>
      </x:c>
      <x:c r="B89" s="20" t="str">
        <x:v>Safwat Ardy</x:v>
      </x:c>
      <x:c r="C89" s="20" t="str">
        <x:v>PT Pupuk Iskandar Muda</x:v>
      </x:c>
      <x:c r="D89" s="20" t="str">
        <x:v>Wakil Ketua - Panitia Inti; LO Pimpinan DAM - Danantara</x:v>
      </x:c>
      <x:c r="E89" s="20" t="str">
        <x:v>5121980</x:v>
      </x:c>
      <x:c r="F89" s="20" t="str">
        <x:v>MD Panitia; Daftar LO</x:v>
      </x:c>
      <x:c r="G89" s="20" t="str">
        <x:v>Ya</x:v>
      </x:c>
      <x:c r="H89" s="20" t="str"/>
    </x:row>
    <x:row r="90">
      <x:c r="A90" s="20" t="str">
        <x:v>P-089</x:v>
      </x:c>
      <x:c r="B90" s="20" t="str">
        <x:v>Osman M Saftari</x:v>
      </x:c>
      <x:c r="C90" s="20" t="str">
        <x:v>PT Pupuk Iskandar Muda</x:v>
      </x:c>
      <x:c r="D90" s="20" t="str">
        <x:v>Sekretaris - Panitia Inti</x:v>
      </x:c>
      <x:c r="E90" s="20" t="str">
        <x:v>5180012</x:v>
      </x:c>
      <x:c r="F90" s="20" t="str">
        <x:v>MD Panitia</x:v>
      </x:c>
      <x:c r="G90" s="20" t="str">
        <x:v>Ya</x:v>
      </x:c>
      <x:c r="H90" s="20" t="str"/>
    </x:row>
    <x:row r="91">
      <x:c r="A91" s="20" t="str">
        <x:v>P-090</x:v>
      </x:c>
      <x:c r="B91" s="20" t="str">
        <x:v>Noviana Putri</x:v>
      </x:c>
      <x:c r="C91" s="20" t="str">
        <x:v>PT Pupuk Iskandar Muda</x:v>
      </x:c>
      <x:c r="D91" s="20" t="str">
        <x:v>Bendahara - Panitia Inti</x:v>
      </x:c>
      <x:c r="E91" s="20" t="str">
        <x:v>5180103</x:v>
      </x:c>
      <x:c r="F91" s="20" t="str">
        <x:v>MD Panitia</x:v>
      </x:c>
      <x:c r="G91" s="20" t="str">
        <x:v>Ya</x:v>
      </x:c>
      <x:c r="H91" s="20" t="str"/>
    </x:row>
    <x:row r="92">
      <x:c r="A92" s="20" t="str">
        <x:v>P-091</x:v>
      </x:c>
      <x:c r="B92" s="20" t="str">
        <x:v>Marlinawati</x:v>
      </x:c>
      <x:c r="C92" s="20" t="str">
        <x:v>PT Pupuk Iskandar Muda</x:v>
      </x:c>
      <x:c r="D92" s="20" t="str">
        <x:v>Bendahara - Panitia Inti</x:v>
      </x:c>
      <x:c r="E92" s="20" t="str">
        <x:v>5122028</x:v>
      </x:c>
      <x:c r="F92" s="20" t="str">
        <x:v>MD Panitia</x:v>
      </x:c>
      <x:c r="G92" s="20" t="str">
        <x:v>Ya</x:v>
      </x:c>
      <x:c r="H92" s="20" t="str"/>
    </x:row>
    <x:row r="93">
      <x:c r="A93" s="20" t="str">
        <x:v>P-092</x:v>
      </x:c>
      <x:c r="B93" s="20" t="str">
        <x:v>Nanda Azmi</x:v>
      </x:c>
      <x:c r="C93" s="20" t="str">
        <x:v>PT Pupuk Iskandar Muda</x:v>
      </x:c>
      <x:c r="D93" s="20" t="str">
        <x:v>Ketua - Pimpinan</x:v>
      </x:c>
      <x:c r="E93" s="20" t="str">
        <x:v>5122022</x:v>
      </x:c>
      <x:c r="F93" s="20" t="str">
        <x:v>MD Panitia</x:v>
      </x:c>
      <x:c r="G93" s="20" t="str">
        <x:v>Ya</x:v>
      </x:c>
      <x:c r="H93" s="20" t="str"/>
    </x:row>
    <x:row r="94">
      <x:c r="A94" s="20" t="str">
        <x:v>P-093</x:v>
      </x:c>
      <x:c r="B94" s="20" t="str">
        <x:v>Dian Pratama Putra</x:v>
      </x:c>
      <x:c r="C94" s="20" t="str">
        <x:v>PT Pupuk Iskandar Muda</x:v>
      </x:c>
      <x:c r="D94" s="20" t="str">
        <x:v>Wakil Ketua - Pimpinan</x:v>
      </x:c>
      <x:c r="E94" s="20" t="str">
        <x:v>5180037</x:v>
      </x:c>
      <x:c r="F94" s="20" t="str">
        <x:v>MD Panitia</x:v>
      </x:c>
      <x:c r="G94" s="20" t="str">
        <x:v>Ya</x:v>
      </x:c>
      <x:c r="H94" s="20" t="str"/>
    </x:row>
    <x:row r="95">
      <x:c r="A95" s="20" t="str">
        <x:v>P-094</x:v>
      </x:c>
      <x:c r="B95" s="20" t="str">
        <x:v>Ajarni</x:v>
      </x:c>
      <x:c r="C95" s="20" t="str">
        <x:v>PT Pupuk Iskandar Muda</x:v>
      </x:c>
      <x:c r="D95" s="20" t="str">
        <x:v>Koordinator - Koord. Sepak Bola</x:v>
      </x:c>
      <x:c r="E95" s="20" t="str">
        <x:v>5041683</x:v>
      </x:c>
      <x:c r="F95" s="20" t="str">
        <x:v>MD Panitia</x:v>
      </x:c>
      <x:c r="G95" s="20" t="str">
        <x:v>Ya</x:v>
      </x:c>
      <x:c r="H95" s="20" t="str"/>
    </x:row>
    <x:row r="96">
      <x:c r="A96" s="20" t="str">
        <x:v>P-095</x:v>
      </x:c>
      <x:c r="B96" s="20" t="str">
        <x:v>Feryza</x:v>
      </x:c>
      <x:c r="C96" s="20" t="str">
        <x:v>PT Pupuk Iskandar Muda</x:v>
      </x:c>
      <x:c r="D96" s="20" t="str">
        <x:v>Anggota - Koord. Sepak Bola</x:v>
      </x:c>
      <x:c r="E96" s="20" t="str">
        <x:v>5122065</x:v>
      </x:c>
      <x:c r="F96" s="20" t="str">
        <x:v>MD Panitia</x:v>
      </x:c>
      <x:c r="G96" s="20" t="str">
        <x:v>Ya</x:v>
      </x:c>
      <x:c r="H96" s="20" t="str"/>
    </x:row>
    <x:row r="97">
      <x:c r="A97" s="20" t="str">
        <x:v>P-096</x:v>
      </x:c>
      <x:c r="B97" s="20" t="str">
        <x:v>Zeki Iqbal</x:v>
      </x:c>
      <x:c r="C97" s="20" t="str">
        <x:v>PT Pupuk Iskandar Muda</x:v>
      </x:c>
      <x:c r="D97" s="20" t="str">
        <x:v>Anggota - Koord. Sepak Bola</x:v>
      </x:c>
      <x:c r="E97" s="20" t="str">
        <x:v>5122056</x:v>
      </x:c>
      <x:c r="F97" s="20" t="str">
        <x:v>MD Panitia</x:v>
      </x:c>
      <x:c r="G97" s="20" t="str">
        <x:v>Ya</x:v>
      </x:c>
      <x:c r="H97" s="20" t="str"/>
    </x:row>
    <x:row r="98">
      <x:c r="A98" s="20" t="str">
        <x:v>P-097</x:v>
      </x:c>
      <x:c r="B98" s="20" t="str">
        <x:v>Hasanuddin</x:v>
      </x:c>
      <x:c r="C98" s="20" t="str">
        <x:v>PT Pupuk Iskandar Muda</x:v>
      </x:c>
      <x:c r="D98" s="20" t="str">
        <x:v>Ketua Bidang - Upacara &amp; Keamanan</x:v>
      </x:c>
      <x:c r="E98" s="20" t="str">
        <x:v>5091946</x:v>
      </x:c>
      <x:c r="F98" s="20" t="str">
        <x:v>MD Panitia</x:v>
      </x:c>
      <x:c r="G98" s="20" t="str">
        <x:v>Ya</x:v>
      </x:c>
      <x:c r="H98" s="20" t="str"/>
    </x:row>
    <x:row r="99">
      <x:c r="A99" s="20" t="str">
        <x:v>P-098</x:v>
      </x:c>
      <x:c r="B99" s="20" t="str">
        <x:v>Andi Saputra</x:v>
      </x:c>
      <x:c r="C99" s="20" t="str">
        <x:v>PT Pupuk Iskandar Muda</x:v>
      </x:c>
      <x:c r="D99" s="20" t="str">
        <x:v>Anggota - Upacara &amp; Keamanan</x:v>
      </x:c>
      <x:c r="E99" s="20" t="str">
        <x:v>5091935</x:v>
      </x:c>
      <x:c r="F99" s="20" t="str">
        <x:v>MD Panitia</x:v>
      </x:c>
      <x:c r="G99" s="20" t="str">
        <x:v>Ya</x:v>
      </x:c>
      <x:c r="H99" s="20" t="str"/>
    </x:row>
    <x:row r="100">
      <x:c r="A100" s="20" t="str">
        <x:v>P-099</x:v>
      </x:c>
      <x:c r="B100" s="20" t="str">
        <x:v>Savid Alwazan</x:v>
      </x:c>
      <x:c r="C100" s="20" t="str">
        <x:v>PT Pupuk Iskandar Muda</x:v>
      </x:c>
      <x:c r="D100" s="20" t="str">
        <x:v>Anggota - Upacara &amp; Keamanan</x:v>
      </x:c>
      <x:c r="E100" s="20" t="str">
        <x:v>5081854</x:v>
      </x:c>
      <x:c r="F100" s="20" t="str">
        <x:v>MD Panitia</x:v>
      </x:c>
      <x:c r="G100" s="20" t="str">
        <x:v>Ya</x:v>
      </x:c>
      <x:c r="H100" s="20" t="str"/>
    </x:row>
    <x:row r="101">
      <x:c r="A101" s="20" t="str">
        <x:v>P-100</x:v>
      </x:c>
      <x:c r="B101" s="20" t="str">
        <x:v>Munawir</x:v>
      </x:c>
      <x:c r="C101" s="20" t="str">
        <x:v>PT Pupuk Iskandar Muda</x:v>
      </x:c>
      <x:c r="D101" s="20" t="str">
        <x:v>Ketua Bidang - Acara Khusus</x:v>
      </x:c>
      <x:c r="E101" s="20" t="str">
        <x:v>5122030</x:v>
      </x:c>
      <x:c r="F101" s="20" t="str">
        <x:v>MD Panitia</x:v>
      </x:c>
      <x:c r="G101" s="20" t="str">
        <x:v>Ya</x:v>
      </x:c>
      <x:c r="H101" s="20" t="str"/>
    </x:row>
    <x:row r="102">
      <x:c r="A102" s="20" t="str">
        <x:v>P-101</x:v>
      </x:c>
      <x:c r="B102" s="20" t="str">
        <x:v>Intan Mutia</x:v>
      </x:c>
      <x:c r="C102" s="20" t="str">
        <x:v>PT Pupuk Iskandar Muda</x:v>
      </x:c>
      <x:c r="D102" s="20" t="str">
        <x:v>Anggota - Acara Khusus</x:v>
      </x:c>
      <x:c r="E102" s="20" t="str">
        <x:v>5122080</x:v>
      </x:c>
      <x:c r="F102" s="20" t="str">
        <x:v>MD Panitia</x:v>
      </x:c>
      <x:c r="G102" s="20" t="str">
        <x:v>Ya</x:v>
      </x:c>
      <x:c r="H102" s="20" t="str"/>
    </x:row>
    <x:row r="103">
      <x:c r="A103" s="20" t="str">
        <x:v>P-102</x:v>
      </x:c>
      <x:c r="B103" s="20" t="str">
        <x:v>Lisa Zulmayeti</x:v>
      </x:c>
      <x:c r="C103" s="20" t="str">
        <x:v>PT Pupuk Iskandar Muda</x:v>
      </x:c>
      <x:c r="D103" s="20" t="str">
        <x:v>Anggota - Acara Khusus</x:v>
      </x:c>
      <x:c r="E103" s="20" t="str">
        <x:v>5200005</x:v>
      </x:c>
      <x:c r="F103" s="20" t="str">
        <x:v>MD Panitia</x:v>
      </x:c>
      <x:c r="G103" s="20" t="str">
        <x:v>Ya</x:v>
      </x:c>
      <x:c r="H103" s="20" t="str"/>
    </x:row>
    <x:row r="104">
      <x:c r="A104" s="20" t="str">
        <x:v>P-103</x:v>
      </x:c>
      <x:c r="B104" s="20" t="str">
        <x:v>Rustam Effendi</x:v>
      </x:c>
      <x:c r="C104" s="20" t="str">
        <x:v>PT Pupuk Iskandar Muda</x:v>
      </x:c>
      <x:c r="D104" s="20" t="str">
        <x:v>Anggota - Acara Khusus</x:v>
      </x:c>
      <x:c r="E104" s="20" t="str">
        <x:v>5180108</x:v>
      </x:c>
      <x:c r="F104" s="20" t="str">
        <x:v>MD Panitia</x:v>
      </x:c>
      <x:c r="G104" s="20" t="str">
        <x:v>Ya</x:v>
      </x:c>
      <x:c r="H104" s="20" t="str"/>
    </x:row>
    <x:row r="105">
      <x:c r="A105" s="20" t="str">
        <x:v>P-104</x:v>
      </x:c>
      <x:c r="B105" s="20" t="str">
        <x:v>Rohaya</x:v>
      </x:c>
      <x:c r="C105" s="20" t="str">
        <x:v>PT Pupuk Iskandar Muda</x:v>
      </x:c>
      <x:c r="D105" s="20" t="str">
        <x:v>Anggota - Acara Khusus</x:v>
      </x:c>
      <x:c r="E105" s="20" t="str">
        <x:v>5180044</x:v>
      </x:c>
      <x:c r="F105" s="20" t="str">
        <x:v>MD Panitia</x:v>
      </x:c>
      <x:c r="G105" s="20" t="str">
        <x:v>Ya</x:v>
      </x:c>
      <x:c r="H105" s="20" t="str"/>
    </x:row>
    <x:row r="106">
      <x:c r="A106" s="20" t="str">
        <x:v>P-105</x:v>
      </x:c>
      <x:c r="B106" s="20" t="str">
        <x:v>Milna</x:v>
      </x:c>
      <x:c r="C106" s="20" t="str">
        <x:v>PT Pupuk Iskandar Muda</x:v>
      </x:c>
      <x:c r="D106" s="20" t="str">
        <x:v>Ketua Bidang - Publikasi &amp; Dokumentasi</x:v>
      </x:c>
      <x:c r="E106" s="20" t="str">
        <x:v>5180049</x:v>
      </x:c>
      <x:c r="F106" s="20" t="str">
        <x:v>MD Panitia</x:v>
      </x:c>
      <x:c r="G106" s="20" t="str">
        <x:v>Ya</x:v>
      </x:c>
      <x:c r="H106" s="20" t="str"/>
    </x:row>
    <x:row r="107">
      <x:c r="A107" s="20" t="str">
        <x:v>P-106</x:v>
      </x:c>
      <x:c r="B107" s="20" t="str">
        <x:v>Reza Juanda</x:v>
      </x:c>
      <x:c r="C107" s="20" t="str">
        <x:v>PT Pupuk Iskandar Muda</x:v>
      </x:c>
      <x:c r="D107" s="20" t="str">
        <x:v>Anggota - Publikasi &amp; Dokumentasi</x:v>
      </x:c>
      <x:c r="E107" s="20" t="str">
        <x:v>5091907</x:v>
      </x:c>
      <x:c r="F107" s="20" t="str">
        <x:v>MD Panitia</x:v>
      </x:c>
      <x:c r="G107" s="20" t="str">
        <x:v>Ya</x:v>
      </x:c>
      <x:c r="H107" s="20" t="str"/>
    </x:row>
    <x:row r="108">
      <x:c r="A108" s="20" t="str">
        <x:v>P-107</x:v>
      </x:c>
      <x:c r="B108" s="20" t="str">
        <x:v>Muzani</x:v>
      </x:c>
      <x:c r="C108" s="20" t="str">
        <x:v>PT Pupuk Iskandar Muda</x:v>
      </x:c>
      <x:c r="D108" s="20" t="str">
        <x:v>Ketua Bidang - Tarik Tambang &amp; Balap Karung; LO Para Komisaris - Komisaris PIM</x:v>
      </x:c>
      <x:c r="E108" s="20" t="str">
        <x:v>5180104</x:v>
      </x:c>
      <x:c r="F108" s="20" t="str">
        <x:v>MD Panitia; Daftar LO</x:v>
      </x:c>
      <x:c r="G108" s="20" t="str">
        <x:v>Ya</x:v>
      </x:c>
      <x:c r="H108" s="20" t="str"/>
    </x:row>
    <x:row r="109">
      <x:c r="A109" s="20" t="str">
        <x:v>P-108</x:v>
      </x:c>
      <x:c r="B109" s="20" t="str">
        <x:v>Ladjar Bailummi</x:v>
      </x:c>
      <x:c r="C109" s="20" t="str">
        <x:v>PT Pupuk Iskandar Muda</x:v>
      </x:c>
      <x:c r="D109" s="20" t="str">
        <x:v>Anggota - Tarik Tambang &amp; Balap Karung</x:v>
      </x:c>
      <x:c r="E109" s="20" t="str">
        <x:v>5180110</x:v>
      </x:c>
      <x:c r="F109" s="20" t="str">
        <x:v>MD Panitia</x:v>
      </x:c>
      <x:c r="G109" s="20" t="str">
        <x:v>Ya</x:v>
      </x:c>
      <x:c r="H109" s="20" t="str"/>
    </x:row>
    <x:row r="110">
      <x:c r="A110" s="20" t="str">
        <x:v>P-109</x:v>
      </x:c>
      <x:c r="B110" s="20" t="str">
        <x:v>Muhammad Nasir</x:v>
      </x:c>
      <x:c r="C110" s="20" t="str">
        <x:v>PT Pupuk Iskandar Muda</x:v>
      </x:c>
      <x:c r="D110" s="20" t="str">
        <x:v>Anggota - Tarik Tambang &amp; Balap Karung</x:v>
      </x:c>
      <x:c r="E110" s="20" t="str">
        <x:v>5041805</x:v>
      </x:c>
      <x:c r="F110" s="20" t="str">
        <x:v>MD Panitia</x:v>
      </x:c>
      <x:c r="G110" s="20" t="str">
        <x:v>Ya</x:v>
      </x:c>
      <x:c r="H110" s="20" t="str"/>
    </x:row>
    <x:row r="111">
      <x:c r="A111" s="20" t="str">
        <x:v>P-110</x:v>
      </x:c>
      <x:c r="B111" s="20" t="str">
        <x:v>Muzakir</x:v>
      </x:c>
      <x:c r="C111" s="20" t="str">
        <x:v>PT Pupuk Iskandar Muda</x:v>
      </x:c>
      <x:c r="D111" s="20" t="str">
        <x:v>Ketua Bidang - Run 5K</x:v>
      </x:c>
      <x:c r="E111" s="20" t="str">
        <x:v>5122087</x:v>
      </x:c>
      <x:c r="F111" s="20" t="str">
        <x:v>MD Panitia</x:v>
      </x:c>
      <x:c r="G111" s="20" t="str">
        <x:v>Ya</x:v>
      </x:c>
      <x:c r="H111" s="20" t="str"/>
    </x:row>
    <x:row r="112">
      <x:c r="A112" s="20" t="str">
        <x:v>P-111</x:v>
      </x:c>
      <x:c r="B112" s="20" t="str">
        <x:v>Faisal Maulana</x:v>
      </x:c>
      <x:c r="C112" s="20" t="str">
        <x:v>PT Pupuk Iskandar Muda</x:v>
      </x:c>
      <x:c r="D112" s="20" t="str">
        <x:v>Anggota - Run 5K</x:v>
      </x:c>
      <x:c r="E112" s="20" t="str">
        <x:v>5122079</x:v>
      </x:c>
      <x:c r="F112" s="20" t="str">
        <x:v>MD Panitia</x:v>
      </x:c>
      <x:c r="G112" s="20" t="str">
        <x:v>Ya</x:v>
      </x:c>
      <x:c r="H112" s="20" t="str"/>
    </x:row>
    <x:row r="113">
      <x:c r="A113" s="20" t="str">
        <x:v>P-112</x:v>
      </x:c>
      <x:c r="B113" s="20" t="str">
        <x:v>Agustria</x:v>
      </x:c>
      <x:c r="C113" s="20" t="str">
        <x:v>PT Pupuk Iskandar Muda</x:v>
      </x:c>
      <x:c r="D113" s="20" t="str">
        <x:v>Anggota - Run 5K; LO Direktur Utama - Pupuk Indonesia Logistik</x:v>
      </x:c>
      <x:c r="E113" s="20" t="str">
        <x:v>5200009</x:v>
      </x:c>
      <x:c r="F113" s="20" t="str">
        <x:v>MD Panitia; Daftar LO</x:v>
      </x:c>
      <x:c r="G113" s="20" t="str">
        <x:v>Ya</x:v>
      </x:c>
      <x:c r="H113" s="20" t="str"/>
    </x:row>
    <x:row r="114">
      <x:c r="A114" s="20" t="str">
        <x:v>P-113</x:v>
      </x:c>
      <x:c r="B114" s="20" t="str">
        <x:v>Akbar Wisesa Wiranata</x:v>
      </x:c>
      <x:c r="C114" s="20" t="str">
        <x:v>PT Pupuk Iskandar Muda</x:v>
      </x:c>
      <x:c r="D114" s="20" t="str">
        <x:v>Anggota - Run 5K; LO Para Direksi - Rekind</x:v>
      </x:c>
      <x:c r="E114" s="20" t="str">
        <x:v>5240011</x:v>
      </x:c>
      <x:c r="F114" s="20" t="str">
        <x:v>MD Panitia; Daftar LO</x:v>
      </x:c>
      <x:c r="G114" s="20" t="str">
        <x:v>Ya</x:v>
      </x:c>
      <x:c r="H114" s="20" t="str"/>
    </x:row>
    <x:row r="115">
      <x:c r="A115" s="20" t="str">
        <x:v>P-114</x:v>
      </x:c>
      <x:c r="B115" s="20" t="str">
        <x:v>Desna Syarafina</x:v>
      </x:c>
      <x:c r="C115" s="20" t="str">
        <x:v>PT Pupuk Iskandar Muda</x:v>
      </x:c>
      <x:c r="D115" s="20" t="str">
        <x:v>Ketua Bidang - Lomba Masak; LO Ketua PIKA - Pupuk Indonesia</x:v>
      </x:c>
      <x:c r="E115" s="20" t="str">
        <x:v>5180038</x:v>
      </x:c>
      <x:c r="F115" s="20" t="str">
        <x:v>MD Panitia; Daftar LO</x:v>
      </x:c>
      <x:c r="G115" s="20" t="str">
        <x:v>Ya</x:v>
      </x:c>
      <x:c r="H115" s="20" t="str"/>
    </x:row>
    <x:row r="116">
      <x:c r="A116" s="20" t="str">
        <x:v>P-115</x:v>
      </x:c>
      <x:c r="B116" s="20" t="str">
        <x:v>Silvia Mardhania A</x:v>
      </x:c>
      <x:c r="C116" s="20" t="str">
        <x:v>PT Pupuk Iskandar Muda</x:v>
      </x:c>
      <x:c r="D116" s="20" t="str">
        <x:v>Anggota - Lomba Masak</x:v>
      </x:c>
      <x:c r="E116" s="20" t="str">
        <x:v>5180109</x:v>
      </x:c>
      <x:c r="F116" s="20" t="str">
        <x:v>MD Panitia</x:v>
      </x:c>
      <x:c r="G116" s="20" t="str">
        <x:v>Ya</x:v>
      </x:c>
      <x:c r="H116" s="20" t="str"/>
    </x:row>
    <x:row r="117">
      <x:c r="A117" s="20" t="str">
        <x:v>P-116</x:v>
      </x:c>
      <x:c r="B117" s="20" t="str">
        <x:v>Nurasiah</x:v>
      </x:c>
      <x:c r="C117" s="20" t="str">
        <x:v>PT Pupuk Iskandar Muda</x:v>
      </x:c>
      <x:c r="D117" s="20" t="str">
        <x:v>Anggota - Lomba Masak; LO Ketua PIKA - Pupuk Kaltim</x:v>
      </x:c>
      <x:c r="E117" s="20" t="str">
        <x:v>5180079</x:v>
      </x:c>
      <x:c r="F117" s="20" t="str">
        <x:v>MD Panitia; Daftar LO</x:v>
      </x:c>
      <x:c r="G117" s="20" t="str">
        <x:v>Ya</x:v>
      </x:c>
      <x:c r="H117" s="20" t="str"/>
    </x:row>
    <x:row r="118">
      <x:c r="A118" s="20" t="str">
        <x:v>P-117</x:v>
      </x:c>
      <x:c r="B118" s="20" t="str">
        <x:v>Eko Julianto</x:v>
      </x:c>
      <x:c r="C118" s="20" t="str">
        <x:v>PT Pupuk Iskandar Muda</x:v>
      </x:c>
      <x:c r="D118" s="20" t="str">
        <x:v>Anggota - Lomba Masak; LO Komisaris - Rekind</x:v>
      </x:c>
      <x:c r="E118" s="20" t="str">
        <x:v>5180113</x:v>
      </x:c>
      <x:c r="F118" s="20" t="str">
        <x:v>MD Panitia; Daftar LO</x:v>
      </x:c>
      <x:c r="G118" s="20" t="str">
        <x:v>Ya</x:v>
      </x:c>
      <x:c r="H118" s="20" t="str"/>
    </x:row>
    <x:row r="119">
      <x:c r="A119" s="20" t="str">
        <x:v>P-118</x:v>
      </x:c>
      <x:c r="B119" s="20" t="str">
        <x:v>Danil Maha Putra</x:v>
      </x:c>
      <x:c r="C119" s="20" t="str">
        <x:v>PT Pupuk Iskandar Muda</x:v>
      </x:c>
      <x:c r="D119" s="20" t="str">
        <x:v>Ketua Bidang - Fun Game Anak; LO Para Direksi - Pupuk Kaltim</x:v>
      </x:c>
      <x:c r="E119" s="20" t="str">
        <x:v>5200001</x:v>
      </x:c>
      <x:c r="F119" s="20" t="str">
        <x:v>MD Panitia; Daftar LO</x:v>
      </x:c>
      <x:c r="G119" s="20" t="str">
        <x:v>Ya</x:v>
      </x:c>
      <x:c r="H119" s="20" t="str"/>
    </x:row>
    <x:row r="120">
      <x:c r="A120" s="20" t="str">
        <x:v>P-119</x:v>
      </x:c>
      <x:c r="B120" s="20" t="str">
        <x:v>Muhammad Yatim</x:v>
      </x:c>
      <x:c r="C120" s="20" t="str">
        <x:v>PT Pupuk Iskandar Muda</x:v>
      </x:c>
      <x:c r="D120" s="20" t="str">
        <x:v>Anggota - Fun Game Anak</x:v>
      </x:c>
      <x:c r="E120" s="20" t="str">
        <x:v>5180071</x:v>
      </x:c>
      <x:c r="F120" s="20" t="str">
        <x:v>MD Panitia</x:v>
      </x:c>
      <x:c r="G120" s="20" t="str">
        <x:v>Ya</x:v>
      </x:c>
      <x:c r="H120" s="20" t="str"/>
    </x:row>
    <x:row r="121">
      <x:c r="A121" s="20" t="str">
        <x:v>P-120</x:v>
      </x:c>
      <x:c r="B121" s="20" t="str">
        <x:v>Rifa'atul Mawaddah</x:v>
      </x:c>
      <x:c r="C121" s="20" t="str">
        <x:v>PT Pupuk Iskandar Muda</x:v>
      </x:c>
      <x:c r="D121" s="20" t="str">
        <x:v>Anggota - Fun Game Anak; LO Ketua PIKA - Rekind</x:v>
      </x:c>
      <x:c r="E121" s="20" t="str">
        <x:v>5180077</x:v>
      </x:c>
      <x:c r="F121" s="20" t="str">
        <x:v>MD Panitia; Daftar LO</x:v>
      </x:c>
      <x:c r="G121" s="20" t="str">
        <x:v>Ya</x:v>
      </x:c>
      <x:c r="H121" s="20" t="str"/>
    </x:row>
    <x:row r="122">
      <x:c r="A122" s="20" t="str">
        <x:v>P-121</x:v>
      </x:c>
      <x:c r="B122" s="20" t="str">
        <x:v>Nuraisyah Betty Marbun</x:v>
      </x:c>
      <x:c r="C122" s="20" t="str">
        <x:v>PT Pupuk Iskandar Muda</x:v>
      </x:c>
      <x:c r="D122" s="20" t="str">
        <x:v>Ketua Bidang - Stanblok PIKA</x:v>
      </x:c>
      <x:c r="E122" s="20" t="str">
        <x:v>5122026</x:v>
      </x:c>
      <x:c r="F122" s="20" t="str">
        <x:v>MD Panitia</x:v>
      </x:c>
      <x:c r="G122" s="20" t="str">
        <x:v>Ya</x:v>
      </x:c>
      <x:c r="H122" s="20" t="str"/>
    </x:row>
    <x:row r="123">
      <x:c r="A123" s="20" t="str">
        <x:v>P-122</x:v>
      </x:c>
      <x:c r="B123" s="20" t="str">
        <x:v>Evilianty</x:v>
      </x:c>
      <x:c r="C123" s="20" t="str">
        <x:v>PT Pupuk Iskandar Muda</x:v>
      </x:c>
      <x:c r="D123" s="20" t="str">
        <x:v>Anggota - Stanblok PIKA</x:v>
      </x:c>
      <x:c r="E123" s="20" t="str">
        <x:v>5122075</x:v>
      </x:c>
      <x:c r="F123" s="20" t="str">
        <x:v>MD Panitia</x:v>
      </x:c>
      <x:c r="G123" s="20" t="str">
        <x:v>Ya</x:v>
      </x:c>
      <x:c r="H123" s="20" t="str"/>
    </x:row>
    <x:row r="124">
      <x:c r="A124" s="20" t="str">
        <x:v>P-123</x:v>
      </x:c>
      <x:c r="B124" s="20" t="str">
        <x:v>Siti Rulia</x:v>
      </x:c>
      <x:c r="C124" s="20" t="str">
        <x:v>PT Pupuk Iskandar Muda</x:v>
      </x:c>
      <x:c r="D124" s="20" t="str">
        <x:v>Anggota - Stanblok PIKA; LO Ketua PIKA - Pupuk Indonesia Pangan</x:v>
      </x:c>
      <x:c r="E124" s="20" t="str">
        <x:v>5180078</x:v>
      </x:c>
      <x:c r="F124" s="20" t="str">
        <x:v>MD Panitia; Daftar LO</x:v>
      </x:c>
      <x:c r="G124" s="20" t="str">
        <x:v>Ya</x:v>
      </x:c>
      <x:c r="H124" s="20" t="str"/>
    </x:row>
    <x:row r="125">
      <x:c r="A125" s="20" t="str">
        <x:v>P-124</x:v>
      </x:c>
      <x:c r="B125" s="20" t="str">
        <x:v>Olya Wijaya</x:v>
      </x:c>
      <x:c r="C125" s="20" t="str">
        <x:v>PT Pupuk Iskandar Muda</x:v>
      </x:c>
      <x:c r="D125" s="20" t="str">
        <x:v>Anggota - Stanblok PIKA; LO Para Direksi - Pupuk Indonesia Pangan</x:v>
      </x:c>
      <x:c r="E125" s="20" t="str">
        <x:v>5180083</x:v>
      </x:c>
      <x:c r="F125" s="20" t="str">
        <x:v>MD Panitia; Daftar LO</x:v>
      </x:c>
      <x:c r="G125" s="20" t="str">
        <x:v>Ya</x:v>
      </x:c>
      <x:c r="H125" s="20" t="str"/>
    </x:row>
    <x:row r="126">
      <x:c r="A126" s="20" t="str">
        <x:v>P-125</x:v>
      </x:c>
      <x:c r="B126" s="20" t="str">
        <x:v>Mulia Zahrin</x:v>
      </x:c>
      <x:c r="C126" s="20" t="str">
        <x:v>PT Pupuk Iskandar Muda</x:v>
      </x:c>
      <x:c r="D126" s="20" t="str">
        <x:v>Ketua Bidang - Peralatan, Perlengkapan &amp; Konsumsi</x:v>
      </x:c>
      <x:c r="E126" s="20" t="str">
        <x:v>5941637</x:v>
      </x:c>
      <x:c r="F126" s="20" t="str">
        <x:v>MD Panitia</x:v>
      </x:c>
      <x:c r="G126" s="20" t="str">
        <x:v>Ya</x:v>
      </x:c>
      <x:c r="H126" s="20" t="str"/>
    </x:row>
    <x:row r="127">
      <x:c r="A127" s="20" t="str">
        <x:v>P-126</x:v>
      </x:c>
      <x:c r="B127" s="20" t="str">
        <x:v>Andriansyah</x:v>
      </x:c>
      <x:c r="C127" s="20" t="str">
        <x:v>PT Pupuk Iskandar Muda</x:v>
      </x:c>
      <x:c r="D127" s="20" t="str">
        <x:v>Anggota - Peralatan, Perlengkapan &amp; Konsumsi</x:v>
      </x:c>
      <x:c r="E127" s="20" t="str">
        <x:v>5091936</x:v>
      </x:c>
      <x:c r="F127" s="20" t="str">
        <x:v>MD Panitia</x:v>
      </x:c>
      <x:c r="G127" s="20" t="str">
        <x:v>Ya</x:v>
      </x:c>
      <x:c r="H127" s="20" t="str"/>
    </x:row>
    <x:row r="128">
      <x:c r="A128" s="20" t="str">
        <x:v>P-127</x:v>
      </x:c>
      <x:c r="B128" s="20" t="str">
        <x:v>Dedek Muntasir</x:v>
      </x:c>
      <x:c r="C128" s="20" t="str">
        <x:v>PT Pupuk Iskandar Muda</x:v>
      </x:c>
      <x:c r="D128" s="20" t="str">
        <x:v>Anggota - Peralatan, Perlengkapan &amp; Konsumsi</x:v>
      </x:c>
      <x:c r="E128" s="20" t="str">
        <x:v>5180115</x:v>
      </x:c>
      <x:c r="F128" s="20" t="str">
        <x:v>MD Panitia</x:v>
      </x:c>
      <x:c r="G128" s="20" t="str">
        <x:v>Ya</x:v>
      </x:c>
      <x:c r="H128" s="20" t="str"/>
    </x:row>
    <x:row r="129">
      <x:c r="A129" s="20" t="str">
        <x:v>P-128</x:v>
      </x:c>
      <x:c r="B129" s="20" t="str">
        <x:v>Fenti Novita Sari</x:v>
      </x:c>
      <x:c r="C129" s="20" t="str">
        <x:v>PT Pupuk Iskandar Muda</x:v>
      </x:c>
      <x:c r="D129" s="20" t="str">
        <x:v>Ketua Bidang - Hadiah &amp; Lucky Draw</x:v>
      </x:c>
      <x:c r="E129" s="20" t="str">
        <x:v>5180052</x:v>
      </x:c>
      <x:c r="F129" s="20" t="str">
        <x:v>MD Panitia</x:v>
      </x:c>
      <x:c r="G129" s="20" t="str">
        <x:v>Ya</x:v>
      </x:c>
      <x:c r="H129" s="20" t="str"/>
    </x:row>
    <x:row r="130">
      <x:c r="A130" s="20" t="str">
        <x:v>P-129</x:v>
      </x:c>
      <x:c r="B130" s="20" t="str">
        <x:v>Aidil Azhar</x:v>
      </x:c>
      <x:c r="C130" s="20" t="str">
        <x:v>PT Pupuk Iskandar Muda</x:v>
      </x:c>
      <x:c r="D130" s="20" t="str">
        <x:v>Anggota - Hadiah &amp; Lucky Draw; LO Para Direksi - Pupuk Kujang</x:v>
      </x:c>
      <x:c r="E130" s="20" t="str">
        <x:v>5180120</x:v>
      </x:c>
      <x:c r="F130" s="20" t="str">
        <x:v>MD Panitia; Daftar LO</x:v>
      </x:c>
      <x:c r="G130" s="20" t="str">
        <x:v>Ya</x:v>
      </x:c>
      <x:c r="H130" s="20" t="str"/>
    </x:row>
    <x:row r="131">
      <x:c r="A131" s="20" t="str">
        <x:v>P-130</x:v>
      </x:c>
      <x:c r="B131" s="20" t="str">
        <x:v>Zahara</x:v>
      </x:c>
      <x:c r="C131" s="20" t="str">
        <x:v>PT Pupuk Iskandar Muda</x:v>
      </x:c>
      <x:c r="D131" s="20" t="str">
        <x:v>Anggota - Hadiah &amp; Lucky Draw</x:v>
      </x:c>
      <x:c r="E131" s="20" t="str">
        <x:v>5180100</x:v>
      </x:c>
      <x:c r="F131" s="20" t="str">
        <x:v>MD Panitia</x:v>
      </x:c>
      <x:c r="G131" s="20" t="str">
        <x:v>Ya</x:v>
      </x:c>
      <x:c r="H131" s="20" t="str"/>
    </x:row>
    <x:row r="132">
      <x:c r="A132" s="20" t="str">
        <x:v>P-131</x:v>
      </x:c>
      <x:c r="B132" s="20" t="str">
        <x:v>Dede Praja Zulakamain</x:v>
      </x:c>
      <x:c r="C132" s="20" t="str">
        <x:v>PT Pupuk Iskandar Muda</x:v>
      </x:c>
      <x:c r="D132" s="20" t="str">
        <x:v>Anggota - Hadiah &amp; Lucky Draw</x:v>
      </x:c>
      <x:c r="E132" s="20" t="str">
        <x:v>5180101</x:v>
      </x:c>
      <x:c r="F132" s="20" t="str">
        <x:v>MD Panitia</x:v>
      </x:c>
      <x:c r="G132" s="20" t="str">
        <x:v>Ya</x:v>
      </x:c>
      <x:c r="H132" s="20" t="str"/>
    </x:row>
    <x:row r="133">
      <x:c r="A133" s="20" t="str">
        <x:v>P-132</x:v>
      </x:c>
      <x:c r="B133" s="20" t="str">
        <x:v>Teuku Alfianda Qadri</x:v>
      </x:c>
      <x:c r="C133" s="20" t="str">
        <x:v>PT Pupuk Iskandar Muda</x:v>
      </x:c>
      <x:c r="D133" s="20" t="str">
        <x:v>Ketua - Pimpinan</x:v>
      </x:c>
      <x:c r="E133" s="20" t="str">
        <x:v>5122024</x:v>
      </x:c>
      <x:c r="F133" s="20" t="str">
        <x:v>MD Panitia</x:v>
      </x:c>
      <x:c r="G133" s="20" t="str">
        <x:v>Ya</x:v>
      </x:c>
      <x:c r="H133" s="20" t="str"/>
    </x:row>
    <x:row r="134">
      <x:c r="A134" s="20" t="str">
        <x:v>P-133</x:v>
      </x:c>
      <x:c r="B134" s="20" t="str">
        <x:v>Fariz Ridha</x:v>
      </x:c>
      <x:c r="C134" s="20" t="str">
        <x:v>PT Pupuk Iskandar Muda</x:v>
      </x:c>
      <x:c r="D134" s="20" t="str">
        <x:v>Wakil Ketua - Pimpinan; LO Anggota - Koordinasi LO</x:v>
      </x:c>
      <x:c r="E134" s="20" t="str">
        <x:v>5180030</x:v>
      </x:c>
      <x:c r="F134" s="20" t="str">
        <x:v>MD Panitia; Daftar LO</x:v>
      </x:c>
      <x:c r="G134" s="20" t="str">
        <x:v>Ya</x:v>
      </x:c>
      <x:c r="H134" s="20" t="str"/>
    </x:row>
    <x:row r="135">
      <x:c r="A135" s="20" t="str">
        <x:v>P-134</x:v>
      </x:c>
      <x:c r="B135" s="20" t="str">
        <x:v>Dila Roswita</x:v>
      </x:c>
      <x:c r="C135" s="20" t="str">
        <x:v>PT Pupuk Iskandar Muda</x:v>
      </x:c>
      <x:c r="D135" s="20" t="str">
        <x:v>Sekretaris - Pimpinan</x:v>
      </x:c>
      <x:c r="E135" s="20" t="str">
        <x:v>5180041</x:v>
      </x:c>
      <x:c r="F135" s="20" t="str">
        <x:v>MD Panitia</x:v>
      </x:c>
      <x:c r="G135" s="20" t="str">
        <x:v>Ya</x:v>
      </x:c>
      <x:c r="H135" s="20" t="str"/>
    </x:row>
    <x:row r="136">
      <x:c r="A136" s="20" t="str">
        <x:v>P-135</x:v>
      </x:c>
      <x:c r="B136" s="20" t="str">
        <x:v>Rezki Zufina</x:v>
      </x:c>
      <x:c r="C136" s="20" t="str">
        <x:v>PT Pupuk Iskandar Muda</x:v>
      </x:c>
      <x:c r="D136" s="20" t="str">
        <x:v>Ketua Bidang - Lady's Program</x:v>
      </x:c>
      <x:c r="E136" s="20" t="str">
        <x:v>5122085</x:v>
      </x:c>
      <x:c r="F136" s="20" t="str">
        <x:v>MD Panitia</x:v>
      </x:c>
      <x:c r="G136" s="20" t="str">
        <x:v>Ya</x:v>
      </x:c>
      <x:c r="H136" s="20" t="str"/>
    </x:row>
    <x:row r="137">
      <x:c r="A137" s="20" t="str">
        <x:v>P-136</x:v>
      </x:c>
      <x:c r="B137" s="20" t="str">
        <x:v>Nurul Kamal</x:v>
      </x:c>
      <x:c r="C137" s="20" t="str">
        <x:v>PT Pupuk Iskandar Muda</x:v>
      </x:c>
      <x:c r="D137" s="20" t="str">
        <x:v>Anggota - Lady's Program</x:v>
      </x:c>
      <x:c r="E137" s="20" t="str">
        <x:v>5180016</x:v>
      </x:c>
      <x:c r="F137" s="20" t="str">
        <x:v>MD Panitia</x:v>
      </x:c>
      <x:c r="G137" s="20" t="str">
        <x:v>Ya</x:v>
      </x:c>
      <x:c r="H137" s="20" t="str"/>
    </x:row>
    <x:row r="138">
      <x:c r="A138" s="20" t="str">
        <x:v>P-137</x:v>
      </x:c>
      <x:c r="B138" s="20" t="str">
        <x:v>Fitriani</x:v>
      </x:c>
      <x:c r="C138" s="20" t="str">
        <x:v>PT Pupuk Iskandar Muda</x:v>
      </x:c>
      <x:c r="D138" s="20" t="str">
        <x:v>Anggota - Lady's Program; LO Direktur Utama - Rekind</x:v>
      </x:c>
      <x:c r="E138" s="20" t="str">
        <x:v>5081872</x:v>
      </x:c>
      <x:c r="F138" s="20" t="str">
        <x:v>MD Panitia; Daftar LO</x:v>
      </x:c>
      <x:c r="G138" s="20" t="str">
        <x:v>Ya</x:v>
      </x:c>
      <x:c r="H138" s="20" t="str"/>
    </x:row>
    <x:row r="139">
      <x:c r="A139" s="20" t="str">
        <x:v>P-138</x:v>
      </x:c>
      <x:c r="B139" s="20" t="str">
        <x:v>Zulfajri Ery Syahputra</x:v>
      </x:c>
      <x:c r="C139" s="20" t="str">
        <x:v>PT Pupuk Iskandar Muda</x:v>
      </x:c>
      <x:c r="D139" s="20" t="str">
        <x:v>Ketua Bidang - Tempat &amp; Acara</x:v>
      </x:c>
      <x:c r="E139" s="20" t="str">
        <x:v>5180050</x:v>
      </x:c>
      <x:c r="F139" s="20" t="str">
        <x:v>MD Panitia</x:v>
      </x:c>
      <x:c r="G139" s="20" t="str">
        <x:v>Ya</x:v>
      </x:c>
      <x:c r="H139" s="20" t="str"/>
    </x:row>
    <x:row r="140">
      <x:c r="A140" s="20" t="str">
        <x:v>P-139</x:v>
      </x:c>
      <x:c r="B140" s="20" t="str">
        <x:v>Rahmat Sunarya</x:v>
      </x:c>
      <x:c r="C140" s="20" t="str">
        <x:v>PT Pupuk Iskandar Muda</x:v>
      </x:c>
      <x:c r="D140" s="20" t="str">
        <x:v>Anggota - Tempat &amp; Acara</x:v>
      </x:c>
      <x:c r="E140" s="20" t="str">
        <x:v>5180033</x:v>
      </x:c>
      <x:c r="F140" s="20" t="str">
        <x:v>MD Panitia</x:v>
      </x:c>
      <x:c r="G140" s="20" t="str">
        <x:v>Ya</x:v>
      </x:c>
      <x:c r="H140" s="20" t="str"/>
    </x:row>
    <x:row r="141">
      <x:c r="A141" s="20" t="str">
        <x:v>P-140</x:v>
      </x:c>
      <x:c r="B141" s="20" t="str">
        <x:v>Arief Rahman</x:v>
      </x:c>
      <x:c r="C141" s="20" t="str">
        <x:v>PT Pupuk Iskandar Muda</x:v>
      </x:c>
      <x:c r="D141" s="20" t="str">
        <x:v>Anggota - Tempat &amp; Acara</x:v>
      </x:c>
      <x:c r="E141" s="20" t="str">
        <x:v>5180035</x:v>
      </x:c>
      <x:c r="F141" s="20" t="str">
        <x:v>MD Panitia</x:v>
      </x:c>
      <x:c r="G141" s="20" t="str">
        <x:v>Ya</x:v>
      </x:c>
      <x:c r="H141" s="20" t="str"/>
    </x:row>
    <x:row r="142">
      <x:c r="A142" s="20" t="str">
        <x:v>P-141</x:v>
      </x:c>
      <x:c r="B142" s="20" t="str">
        <x:v>Fadli Herdiansyah</x:v>
      </x:c>
      <x:c r="C142" s="20" t="str">
        <x:v>PT Pupuk Iskandar Muda</x:v>
      </x:c>
      <x:c r="D142" s="20" t="str">
        <x:v>Anggota - Tempat &amp; Acara; LO Komisaris - Pupuk Kujang</x:v>
      </x:c>
      <x:c r="E142" s="20" t="str">
        <x:v>5200007</x:v>
      </x:c>
      <x:c r="F142" s="20" t="str">
        <x:v>MD Panitia; Daftar LO</x:v>
      </x:c>
      <x:c r="G142" s="20" t="str">
        <x:v>Ya</x:v>
      </x:c>
      <x:c r="H142" s="20" t="str"/>
    </x:row>
    <x:row r="143">
      <x:c r="A143" s="20" t="str">
        <x:v>P-142</x:v>
      </x:c>
      <x:c r="B143" s="20" t="str">
        <x:v>Iqbal</x:v>
      </x:c>
      <x:c r="C143" s="20" t="str">
        <x:v>PT Pupuk Iskandar Muda</x:v>
      </x:c>
      <x:c r="D143" s="20" t="str">
        <x:v>Anggota - Tempat &amp; Acara</x:v>
      </x:c>
      <x:c r="E143" s="20" t="str">
        <x:v>5041765</x:v>
      </x:c>
      <x:c r="F143" s="20" t="str">
        <x:v>MD Panitia</x:v>
      </x:c>
      <x:c r="G143" s="20" t="str">
        <x:v>Ya</x:v>
      </x:c>
      <x:c r="H143" s="20" t="str"/>
    </x:row>
    <x:row r="144">
      <x:c r="A144" s="20" t="str">
        <x:v>P-143</x:v>
      </x:c>
      <x:c r="B144" s="20" t="str">
        <x:v>Fahirul Muhar</x:v>
      </x:c>
      <x:c r="C144" s="20" t="str">
        <x:v>PT Pupuk Iskandar Muda</x:v>
      </x:c>
      <x:c r="D144" s="20" t="str">
        <x:v>Ketua Bidang - LO; LO Direktur Utama - Pupuk Indonesia</x:v>
      </x:c>
      <x:c r="E144" s="20" t="str">
        <x:v>5180056</x:v>
      </x:c>
      <x:c r="F144" s="20" t="str">
        <x:v>MD Panitia; Daftar LO</x:v>
      </x:c>
      <x:c r="G144" s="20" t="str">
        <x:v>Ya</x:v>
      </x:c>
      <x:c r="H144" s="20" t="str"/>
    </x:row>
    <x:row r="145">
      <x:c r="A145" s="20" t="str">
        <x:v>P-144</x:v>
      </x:c>
      <x:c r="B145" s="20" t="str">
        <x:v>Ichsan Pradana Haris</x:v>
      </x:c>
      <x:c r="C145" s="20" t="str">
        <x:v>PT Pupuk Iskandar Muda</x:v>
      </x:c>
      <x:c r="D145" s="20" t="str">
        <x:v>Anggota - LO</x:v>
      </x:c>
      <x:c r="E145" s="20" t="str">
        <x:v>5180032</x:v>
      </x:c>
      <x:c r="F145" s="20" t="str">
        <x:v>MD Panitia</x:v>
      </x:c>
      <x:c r="G145" s="20" t="str">
        <x:v>Ya</x:v>
      </x:c>
      <x:c r="H145" s="20" t="str"/>
    </x:row>
    <x:row r="146">
      <x:c r="A146" s="20" t="str">
        <x:v>P-145</x:v>
      </x:c>
      <x:c r="B146" s="20" t="str">
        <x:v>Kennico</x:v>
      </x:c>
      <x:c r="C146" s="20" t="str">
        <x:v>PT Pupuk Iskandar Muda</x:v>
      </x:c>
      <x:c r="D146" s="20" t="str">
        <x:v>Anggota - LO</x:v>
      </x:c>
      <x:c r="E146" s="20" t="str">
        <x:v>5180013</x:v>
      </x:c>
      <x:c r="F146" s="20" t="str">
        <x:v>MD Panitia</x:v>
      </x:c>
      <x:c r="G146" s="20" t="str">
        <x:v>Ya</x:v>
      </x:c>
      <x:c r="H146" s="20" t="str"/>
    </x:row>
    <x:row r="147">
      <x:c r="A147" s="20" t="str">
        <x:v>P-146</x:v>
      </x:c>
      <x:c r="B147" s="20" t="str">
        <x:v>Dharlyani</x:v>
      </x:c>
      <x:c r="C147" s="20" t="str">
        <x:v>PT Pupuk Iskandar Muda</x:v>
      </x:c>
      <x:c r="D147" s="20" t="str">
        <x:v>Ketua Bidang - Transportasi</x:v>
      </x:c>
      <x:c r="E147" s="20" t="str">
        <x:v>5041725</x:v>
      </x:c>
      <x:c r="F147" s="20" t="str">
        <x:v>MD Panitia</x:v>
      </x:c>
      <x:c r="G147" s="20" t="str">
        <x:v>Ya</x:v>
      </x:c>
      <x:c r="H147" s="20" t="str"/>
    </x:row>
    <x:row r="148">
      <x:c r="A148" s="20" t="str">
        <x:v>P-147</x:v>
      </x:c>
      <x:c r="B148" s="20" t="str">
        <x:v>Eriadi</x:v>
      </x:c>
      <x:c r="C148" s="20" t="str">
        <x:v>PT Pupuk Iskandar Muda</x:v>
      </x:c>
      <x:c r="D148" s="20" t="str">
        <x:v>Anggota - Transportasi</x:v>
      </x:c>
      <x:c r="E148" s="20" t="str">
        <x:v>5041706</x:v>
      </x:c>
      <x:c r="F148" s="20" t="str">
        <x:v>MD Panitia</x:v>
      </x:c>
      <x:c r="G148" s="20" t="str">
        <x:v>Ya</x:v>
      </x:c>
      <x:c r="H148" s="20" t="str"/>
    </x:row>
    <x:row r="149">
      <x:c r="A149" s="20" t="str">
        <x:v>P-148</x:v>
      </x:c>
      <x:c r="B149" s="20" t="str">
        <x:v>Murthala</x:v>
      </x:c>
      <x:c r="C149" s="20" t="str">
        <x:v>PT Pupuk Iskandar Muda</x:v>
      </x:c>
      <x:c r="D149" s="20" t="str">
        <x:v>Ketua - Pimpinan</x:v>
      </x:c>
      <x:c r="E149" s="20" t="str">
        <x:v>5081850</x:v>
      </x:c>
      <x:c r="F149" s="20" t="str">
        <x:v>MD Panitia</x:v>
      </x:c>
      <x:c r="G149" s="20" t="str">
        <x:v>Ya</x:v>
      </x:c>
      <x:c r="H149" s="20" t="str"/>
    </x:row>
    <x:row r="150">
      <x:c r="A150" s="20" t="str">
        <x:v>P-149</x:v>
      </x:c>
      <x:c r="B150" s="20" t="str">
        <x:v>Nazar</x:v>
      </x:c>
      <x:c r="C150" s="20" t="str">
        <x:v>PT Pupuk Iskandar Muda</x:v>
      </x:c>
      <x:c r="D150" s="20" t="str">
        <x:v>Wakil Ketua - Pimpinan</x:v>
      </x:c>
      <x:c r="E150" s="20" t="str">
        <x:v>5081870</x:v>
      </x:c>
      <x:c r="F150" s="20" t="str">
        <x:v>MD Panitia</x:v>
      </x:c>
      <x:c r="G150" s="20" t="str">
        <x:v>Ya</x:v>
      </x:c>
      <x:c r="H150" s="20" t="str"/>
    </x:row>
    <x:row r="151">
      <x:c r="A151" s="20" t="str">
        <x:v>P-150</x:v>
      </x:c>
      <x:c r="B151" s="20" t="str">
        <x:v>Andika Anugrah</x:v>
      </x:c>
      <x:c r="C151" s="20" t="str">
        <x:v>PT Pupuk Iskandar Muda</x:v>
      </x:c>
      <x:c r="D151" s="20" t="str">
        <x:v>Anggota - Pelaksana</x:v>
      </x:c>
      <x:c r="E151" s="20" t="str">
        <x:v>5180034</x:v>
      </x:c>
      <x:c r="F151" s="20" t="str">
        <x:v>MD Panitia</x:v>
      </x:c>
      <x:c r="G151" s="20" t="str">
        <x:v>Ya</x:v>
      </x:c>
      <x:c r="H151" s="20" t="str"/>
    </x:row>
    <x:row r="152">
      <x:c r="A152" s="20" t="str">
        <x:v>P-151</x:v>
      </x:c>
      <x:c r="B152" s="20" t="str">
        <x:v>Giffari Almuzani</x:v>
      </x:c>
      <x:c r="C152" s="20" t="str">
        <x:v>PT Pupuk Iskandar Muda</x:v>
      </x:c>
      <x:c r="D152" s="20" t="str">
        <x:v>Anggota - Pelaksana</x:v>
      </x:c>
      <x:c r="E152" s="20" t="str">
        <x:v>5200002</x:v>
      </x:c>
      <x:c r="F152" s="20" t="str">
        <x:v>MD Panitia</x:v>
      </x:c>
      <x:c r="G152" s="20" t="str">
        <x:v>Ya</x:v>
      </x:c>
      <x:c r="H152" s="20" t="str"/>
    </x:row>
    <x:row r="153">
      <x:c r="A153" s="20" t="str">
        <x:v>P-152</x:v>
      </x:c>
      <x:c r="B153" s="20" t="str">
        <x:v>Novan Umaya</x:v>
      </x:c>
      <x:c r="C153" s="20" t="str">
        <x:v>PT Pupuk Iskandar Muda</x:v>
      </x:c>
      <x:c r="D153" s="20" t="str">
        <x:v>Anggota - Pelaksana</x:v>
      </x:c>
      <x:c r="E153" s="20" t="str">
        <x:v>5180046</x:v>
      </x:c>
      <x:c r="F153" s="20" t="str">
        <x:v>MD Panitia</x:v>
      </x:c>
      <x:c r="G153" s="20" t="str">
        <x:v>Ya</x:v>
      </x:c>
      <x:c r="H153" s="20" t="str"/>
    </x:row>
    <x:row r="154">
      <x:c r="A154" s="20" t="str">
        <x:v>P-153</x:v>
      </x:c>
      <x:c r="B154" s="20" t="str">
        <x:v>Renno Kamal Putra</x:v>
      </x:c>
      <x:c r="C154" s="20" t="str">
        <x:v>PT Pupuk Iskandar Muda</x:v>
      </x:c>
      <x:c r="D154" s="20" t="str">
        <x:v>Anggota - Pelaksana</x:v>
      </x:c>
      <x:c r="E154" s="20" t="str">
        <x:v>5180031</x:v>
      </x:c>
      <x:c r="F154" s="20" t="str">
        <x:v>MD Panitia</x:v>
      </x:c>
      <x:c r="G154" s="20" t="str">
        <x:v>Ya</x:v>
      </x:c>
      <x:c r="H154" s="20" t="str"/>
    </x:row>
    <x:row r="155">
      <x:c r="A155" s="20" t="str">
        <x:v>P-154</x:v>
      </x:c>
      <x:c r="B155" s="20" t="str">
        <x:v>Ahmad Ghufran</x:v>
      </x:c>
      <x:c r="C155" s="20" t="str">
        <x:v>PT Pupuk Iskandar Muda</x:v>
      </x:c>
      <x:c r="D155" s="20" t="str">
        <x:v>Anggota - Pelaksana; LO Direktur Utama - Pupuk Indonesia Niaga</x:v>
      </x:c>
      <x:c r="E155" s="20" t="str">
        <x:v>5180036</x:v>
      </x:c>
      <x:c r="F155" s="20" t="str">
        <x:v>MD Panitia; Daftar LO</x:v>
      </x:c>
      <x:c r="G155" s="20" t="str">
        <x:v>Ya</x:v>
      </x:c>
      <x:c r="H155" s="20" t="str"/>
    </x:row>
    <x:row r="156">
      <x:c r="A156" s="20" t="str">
        <x:v>P-155</x:v>
      </x:c>
      <x:c r="B156" s="20" t="str">
        <x:v>Faria Insyira</x:v>
      </x:c>
      <x:c r="C156" s="20" t="str">
        <x:v>PT Pupuk Iskandar Muda</x:v>
      </x:c>
      <x:c r="D156" s="20" t="str">
        <x:v>Anggota - Pelaksana</x:v>
      </x:c>
      <x:c r="E156" s="20" t="str">
        <x:v>5180053</x:v>
      </x:c>
      <x:c r="F156" s="20" t="str">
        <x:v>MD Panitia</x:v>
      </x:c>
      <x:c r="G156" s="20" t="str">
        <x:v>Ya</x:v>
      </x:c>
      <x:c r="H156" s="20" t="str"/>
    </x:row>
    <x:row r="157">
      <x:c r="A157" s="20" t="str">
        <x:v>P-156</x:v>
      </x:c>
      <x:c r="B157" s="20" t="str">
        <x:v>Yusrizal</x:v>
      </x:c>
      <x:c r="C157" s="20" t="str">
        <x:v>PT Pupuk Iskandar Muda</x:v>
      </x:c>
      <x:c r="D157" s="20" t="str">
        <x:v>LO Koordinator - Koordinasi LO; LO Anggota Dewan Energi Nasional - Lembaga Negara</x:v>
      </x:c>
      <x:c r="E157" s="20" t="str">
        <x:v>5122009</x:v>
      </x:c>
      <x:c r="F157" s="20" t="str">
        <x:v>Daftar LO</x:v>
      </x:c>
      <x:c r="G157" s="20" t="str">
        <x:v>Ya</x:v>
      </x:c>
      <x:c r="H157" s="20" t="str"/>
    </x:row>
    <x:row r="158">
      <x:c r="A158" s="20" t="str">
        <x:v>P-157</x:v>
      </x:c>
      <x:c r="B158" s="20" t="str">
        <x:v>Farhul Hadi</x:v>
      </x:c>
      <x:c r="C158" s="20" t="str">
        <x:v>PT Pupuk Iskandar Muda</x:v>
      </x:c>
      <x:c r="D158" s="20" t="str">
        <x:v>LO Ketua LO - Koordinasi LO</x:v>
      </x:c>
      <x:c r="E158" s="20" t="str">
        <x:v>5122015</x:v>
      </x:c>
      <x:c r="F158" s="20" t="str">
        <x:v>Daftar LO</x:v>
      </x:c>
      <x:c r="G158" s="20" t="str">
        <x:v>Ya</x:v>
      </x:c>
      <x:c r="H158" s="20" t="str"/>
    </x:row>
    <x:row r="159">
      <x:c r="A159" s="20" t="str">
        <x:v>P-158</x:v>
      </x:c>
      <x:c r="B159" s="20" t="str">
        <x:v>Azwarni Islamiah</x:v>
      </x:c>
      <x:c r="C159" s="20" t="str">
        <x:v>PT Pupuk Iskandar Muda</x:v>
      </x:c>
      <x:c r="D159" s="20" t="str">
        <x:v>LO Anggota - Koordinasi LO</x:v>
      </x:c>
      <x:c r="E159" s="20" t="str"/>
      <x:c r="F159" s="20" t="str">
        <x:v>Daftar LO</x:v>
      </x:c>
      <x:c r="G159" s="20" t="str">
        <x:v>Ya</x:v>
      </x:c>
      <x:c r="H159" s="20" t="str"/>
    </x:row>
    <x:row r="160">
      <x:c r="A160" s="20" t="str">
        <x:v>P-159</x:v>
      </x:c>
      <x:c r="B160" s="20" t="str">
        <x:v>Suryadi Idris</x:v>
      </x:c>
      <x:c r="C160" s="20" t="str">
        <x:v>PT Pupuk Iskandar Muda</x:v>
      </x:c>
      <x:c r="D160" s="20" t="str">
        <x:v>LO Komisaris - Pupuk Indonesia; LO Wamen Pertanian RI - Kementerian Pertanian RI</x:v>
      </x:c>
      <x:c r="E160" s="20" t="str">
        <x:v>5121987</x:v>
      </x:c>
      <x:c r="F160" s="20" t="str">
        <x:v>Daftar LO</x:v>
      </x:c>
      <x:c r="G160" s="20" t="str">
        <x:v>Ya</x:v>
      </x:c>
      <x:c r="H160" s="20" t="str"/>
    </x:row>
    <x:row r="161">
      <x:c r="A161" s="20" t="str">
        <x:v>P-160</x:v>
      </x:c>
      <x:c r="B161" s="20" t="str">
        <x:v>Raihandi Al Maghfirah</x:v>
      </x:c>
      <x:c r="C161" s="20" t="str">
        <x:v>PT Pupuk Iskandar Muda</x:v>
      </x:c>
      <x:c r="D161" s="20" t="str">
        <x:v>LO Para Direksi - Pupuk Indonesia</x:v>
      </x:c>
      <x:c r="E161" s="20" t="str">
        <x:v>5132100</x:v>
      </x:c>
      <x:c r="F161" s="20" t="str">
        <x:v>Daftar LO</x:v>
      </x:c>
      <x:c r="G161" s="20" t="str">
        <x:v>Ya</x:v>
      </x:c>
      <x:c r="H161" s="20" t="str"/>
    </x:row>
    <x:row r="162">
      <x:c r="A162" s="20" t="str">
        <x:v>P-161</x:v>
      </x:c>
      <x:c r="B162" s="20" t="str">
        <x:v>Mauliza Arsita</x:v>
      </x:c>
      <x:c r="C162" s="20" t="str">
        <x:v>PT Pupuk Iskandar Muda</x:v>
      </x:c>
      <x:c r="D162" s="20" t="str">
        <x:v>LO Para Direksi - Pupuk Indonesia</x:v>
      </x:c>
      <x:c r="E162" s="20" t="str">
        <x:v>5180028</x:v>
      </x:c>
      <x:c r="F162" s="20" t="str">
        <x:v>Daftar LO</x:v>
      </x:c>
      <x:c r="G162" s="20" t="str">
        <x:v>Ya</x:v>
      </x:c>
      <x:c r="H162" s="20" t="str"/>
    </x:row>
    <x:row r="163">
      <x:c r="A163" s="20" t="str">
        <x:v>P-162</x:v>
      </x:c>
      <x:c r="B163" s="20" t="str">
        <x:v>Ihsan Pradana Haris</x:v>
      </x:c>
      <x:c r="C163" s="20" t="str">
        <x:v>PT Pupuk Iskandar Muda</x:v>
      </x:c>
      <x:c r="D163" s="20" t="str">
        <x:v>LO Direktur Utama - Pupuk Kaltim</x:v>
      </x:c>
      <x:c r="E163" s="20" t="str">
        <x:v>5180032</x:v>
      </x:c>
      <x:c r="F163" s="20" t="str">
        <x:v>Daftar LO</x:v>
      </x:c>
      <x:c r="G163" s="20" t="str">
        <x:v>Ya</x:v>
      </x:c>
      <x:c r="H163" s="20" t="str"/>
    </x:row>
    <x:row r="164">
      <x:c r="A164" s="20" t="str">
        <x:v>P-163</x:v>
      </x:c>
      <x:c r="B164" s="20" t="str">
        <x:v>Dede Praja Z</x:v>
      </x:c>
      <x:c r="C164" s="20" t="str">
        <x:v>PT Pupuk Iskandar Muda</x:v>
      </x:c>
      <x:c r="D164" s="20" t="str">
        <x:v>LO Komisaris - Pupuk Kaltim</x:v>
      </x:c>
      <x:c r="E164" s="20" t="str">
        <x:v>5180101</x:v>
      </x:c>
      <x:c r="F164" s="20" t="str">
        <x:v>Daftar LO</x:v>
      </x:c>
      <x:c r="G164" s="20" t="str">
        <x:v>Ya</x:v>
      </x:c>
      <x:c r="H164" s="20" t="str"/>
    </x:row>
    <x:row r="165">
      <x:c r="A165" s="20" t="str">
        <x:v>P-164</x:v>
      </x:c>
      <x:c r="B165" s="20" t="str">
        <x:v>Feri Effendi</x:v>
      </x:c>
      <x:c r="C165" s="20" t="str">
        <x:v>PT Pupuk Iskandar Muda</x:v>
      </x:c>
      <x:c r="D165" s="20" t="str">
        <x:v>LO Direktur Utama - Petrokimia Gresik</x:v>
      </x:c>
      <x:c r="E165" s="20" t="str">
        <x:v>5081867</x:v>
      </x:c>
      <x:c r="F165" s="20" t="str">
        <x:v>Daftar LO</x:v>
      </x:c>
      <x:c r="G165" s="20" t="str">
        <x:v>Ya</x:v>
      </x:c>
      <x:c r="H165" s="20" t="str"/>
    </x:row>
    <x:row r="166">
      <x:c r="A166" s="20" t="str">
        <x:v>P-165</x:v>
      </x:c>
      <x:c r="B166" s="20" t="str">
        <x:v>Cut Zakiah Zuhra</x:v>
      </x:c>
      <x:c r="C166" s="20" t="str">
        <x:v>PT Pupuk Iskandar Muda</x:v>
      </x:c>
      <x:c r="D166" s="20" t="str">
        <x:v>LO Ketua PIKA - Petrokimia Gresik</x:v>
      </x:c>
      <x:c r="E166" s="20" t="str">
        <x:v>5180023</x:v>
      </x:c>
      <x:c r="F166" s="20" t="str">
        <x:v>Daftar LO</x:v>
      </x:c>
      <x:c r="G166" s="20" t="str">
        <x:v>Ya</x:v>
      </x:c>
      <x:c r="H166" s="20" t="str"/>
    </x:row>
    <x:row r="167">
      <x:c r="A167" s="20" t="str">
        <x:v>P-166</x:v>
      </x:c>
      <x:c r="B167" s="20" t="str">
        <x:v>Kennico Simuloara Qadry</x:v>
      </x:c>
      <x:c r="C167" s="20" t="str">
        <x:v>PT Pupuk Iskandar Muda</x:v>
      </x:c>
      <x:c r="D167" s="20" t="str">
        <x:v>LO Komisaris - Petrokimia Gresik</x:v>
      </x:c>
      <x:c r="E167" s="20" t="str">
        <x:v>5180013</x:v>
      </x:c>
      <x:c r="F167" s="20" t="str">
        <x:v>Daftar LO</x:v>
      </x:c>
      <x:c r="G167" s="20" t="str">
        <x:v>Ya</x:v>
      </x:c>
      <x:c r="H167" s="20" t="str"/>
    </x:row>
    <x:row r="168">
      <x:c r="A168" s="20" t="str">
        <x:v>P-167</x:v>
      </x:c>
      <x:c r="B168" s="20" t="str">
        <x:v>Aulia Moeda Makarim</x:v>
      </x:c>
      <x:c r="C168" s="20" t="str">
        <x:v>PT Pupuk Iskandar Muda</x:v>
      </x:c>
      <x:c r="D168" s="20" t="str">
        <x:v>LO Para Direksi - Petrokimia Gresik</x:v>
      </x:c>
      <x:c r="E168" s="20" t="str">
        <x:v>5200011</x:v>
      </x:c>
      <x:c r="F168" s="20" t="str">
        <x:v>Daftar LO</x:v>
      </x:c>
      <x:c r="G168" s="20" t="str">
        <x:v>Ya</x:v>
      </x:c>
      <x:c r="H168" s="20" t="str"/>
    </x:row>
    <x:row r="169">
      <x:c r="A169" s="20" t="str">
        <x:v>P-168</x:v>
      </x:c>
      <x:c r="B169" s="20" t="str">
        <x:v>Ikhsanuddin</x:v>
      </x:c>
      <x:c r="C169" s="20" t="str">
        <x:v>PT Pupuk Iskandar Muda</x:v>
      </x:c>
      <x:c r="D169" s="20" t="str">
        <x:v>LO Direktur Utama - Pupuk Sriwijaya</x:v>
      </x:c>
      <x:c r="E169" s="20" t="str">
        <x:v>5041753</x:v>
      </x:c>
      <x:c r="F169" s="20" t="str">
        <x:v>Daftar LO</x:v>
      </x:c>
      <x:c r="G169" s="20" t="str">
        <x:v>Ya</x:v>
      </x:c>
      <x:c r="H169" s="20" t="str"/>
    </x:row>
    <x:row r="170">
      <x:c r="A170" s="20" t="str">
        <x:v>P-169</x:v>
      </x:c>
      <x:c r="B170" s="20" t="str">
        <x:v>Fatina Yasmin</x:v>
      </x:c>
      <x:c r="C170" s="20" t="str">
        <x:v>PT Pupuk Iskandar Muda</x:v>
      </x:c>
      <x:c r="D170" s="20" t="str">
        <x:v>LO Ketua PIKA - Pupuk Sriwijaya</x:v>
      </x:c>
      <x:c r="E170" s="20" t="str">
        <x:v>5180068</x:v>
      </x:c>
      <x:c r="F170" s="20" t="str">
        <x:v>Daftar LO</x:v>
      </x:c>
      <x:c r="G170" s="20" t="str">
        <x:v>Ya</x:v>
      </x:c>
      <x:c r="H170" s="20" t="str"/>
    </x:row>
    <x:row r="171">
      <x:c r="A171" s="20" t="str">
        <x:v>P-170</x:v>
      </x:c>
      <x:c r="B171" s="20" t="str">
        <x:v>Wahyu Hidayat</x:v>
      </x:c>
      <x:c r="C171" s="20" t="str">
        <x:v>PT Pupuk Iskandar Muda</x:v>
      </x:c>
      <x:c r="D171" s="20" t="str">
        <x:v>LO Komisaris - Pupuk Sriwijaya</x:v>
      </x:c>
      <x:c r="E171" s="20" t="str">
        <x:v>5180025</x:v>
      </x:c>
      <x:c r="F171" s="20" t="str">
        <x:v>Daftar LO</x:v>
      </x:c>
      <x:c r="G171" s="20" t="str">
        <x:v>Ya</x:v>
      </x:c>
      <x:c r="H171" s="20" t="str"/>
    </x:row>
    <x:row r="172">
      <x:c r="A172" s="20" t="str">
        <x:v>P-171</x:v>
      </x:c>
      <x:c r="B172" s="20" t="str">
        <x:v>Zulfajry Ery Syahputra</x:v>
      </x:c>
      <x:c r="C172" s="20" t="str">
        <x:v>PT Pupuk Iskandar Muda</x:v>
      </x:c>
      <x:c r="D172" s="20" t="str">
        <x:v>LO Para Direksi - Pupuk Sriwijaya</x:v>
      </x:c>
      <x:c r="E172" s="20" t="str">
        <x:v>5180050</x:v>
      </x:c>
      <x:c r="F172" s="20" t="str">
        <x:v>Daftar LO</x:v>
      </x:c>
      <x:c r="G172" s="20" t="str">
        <x:v>Ya</x:v>
      </x:c>
      <x:c r="H172" s="20" t="str"/>
    </x:row>
    <x:row r="173">
      <x:c r="A173" s="20" t="str">
        <x:v>P-172</x:v>
      </x:c>
      <x:c r="B173" s="20" t="str">
        <x:v>Yusuf AR</x:v>
      </x:c>
      <x:c r="C173" s="20" t="str">
        <x:v>PT Pupuk Iskandar Muda</x:v>
      </x:c>
      <x:c r="D173" s="20" t="str">
        <x:v>LO Direktur Utama - Pupuk Kujang</x:v>
      </x:c>
      <x:c r="E173" s="20" t="str">
        <x:v>5041787</x:v>
      </x:c>
      <x:c r="F173" s="20" t="str">
        <x:v>Daftar LO</x:v>
      </x:c>
      <x:c r="G173" s="20" t="str">
        <x:v>Ya</x:v>
      </x:c>
      <x:c r="H173" s="20" t="str"/>
    </x:row>
    <x:row r="174">
      <x:c r="A174" s="20" t="str">
        <x:v>P-173</x:v>
      </x:c>
      <x:c r="B174" s="20" t="str">
        <x:v>Silvia Mardhania</x:v>
      </x:c>
      <x:c r="C174" s="20" t="str">
        <x:v>PT Pupuk Iskandar Muda</x:v>
      </x:c>
      <x:c r="D174" s="20" t="str">
        <x:v>LO Ketua PIKA - Pupuk Kujang</x:v>
      </x:c>
      <x:c r="E174" s="20" t="str">
        <x:v>5180109</x:v>
      </x:c>
      <x:c r="F174" s="20" t="str">
        <x:v>Daftar LO</x:v>
      </x:c>
      <x:c r="G174" s="20" t="str">
        <x:v>Ya</x:v>
      </x:c>
      <x:c r="H174" s="20" t="str"/>
    </x:row>
    <x:row r="175">
      <x:c r="A175" s="20" t="str">
        <x:v>P-174</x:v>
      </x:c>
      <x:c r="B175" s="20" t="str">
        <x:v>Nanda Puspa Keumala</x:v>
      </x:c>
      <x:c r="C175" s="20" t="str">
        <x:v>PT Pupuk Iskandar Muda</x:v>
      </x:c>
      <x:c r="D175" s="20" t="str">
        <x:v>LO Ketua PIKA - Pupuk Indonesia Logistik</x:v>
      </x:c>
      <x:c r="E175" s="20" t="str">
        <x:v>5180057</x:v>
      </x:c>
      <x:c r="F175" s="20" t="str">
        <x:v>Daftar LO</x:v>
      </x:c>
      <x:c r="G175" s="20" t="str">
        <x:v>Ya</x:v>
      </x:c>
      <x:c r="H175" s="20" t="str"/>
    </x:row>
    <x:row r="176">
      <x:c r="A176" s="20" t="str">
        <x:v>P-175</x:v>
      </x:c>
      <x:c r="B176" s="20" t="str">
        <x:v>Rahmat Wijaya</x:v>
      </x:c>
      <x:c r="C176" s="20" t="str">
        <x:v>PT Pupuk Iskandar Muda</x:v>
      </x:c>
      <x:c r="D176" s="20" t="str">
        <x:v>LO Komisaris - Pupuk Indonesia Logistik</x:v>
      </x:c>
      <x:c r="E176" s="20" t="str">
        <x:v>5180092</x:v>
      </x:c>
      <x:c r="F176" s="20" t="str">
        <x:v>Daftar LO</x:v>
      </x:c>
      <x:c r="G176" s="20" t="str">
        <x:v>Ya</x:v>
      </x:c>
      <x:c r="H176" s="20" t="str"/>
    </x:row>
    <x:row r="177">
      <x:c r="A177" s="20" t="str">
        <x:v>P-176</x:v>
      </x:c>
      <x:c r="B177" s="20" t="str">
        <x:v>Heri Primadona</x:v>
      </x:c>
      <x:c r="C177" s="20" t="str">
        <x:v>PT Pupuk Iskandar Muda</x:v>
      </x:c>
      <x:c r="D177" s="20" t="str">
        <x:v>LO Para Direksi - Pupuk Indonesia Logistik</x:v>
      </x:c>
      <x:c r="E177" s="20" t="str">
        <x:v>5180045</x:v>
      </x:c>
      <x:c r="F177" s="20" t="str">
        <x:v>Daftar LO</x:v>
      </x:c>
      <x:c r="G177" s="20" t="str">
        <x:v>Ya</x:v>
      </x:c>
      <x:c r="H177" s="20" t="str"/>
    </x:row>
    <x:row r="178">
      <x:c r="A178" s="20" t="str">
        <x:v>P-177</x:v>
      </x:c>
      <x:c r="B178" s="20" t="str">
        <x:v>Hafizh Daru Teguh Julian</x:v>
      </x:c>
      <x:c r="C178" s="20" t="str">
        <x:v>PT Pupuk Iskandar Muda</x:v>
      </x:c>
      <x:c r="D178" s="20" t="str">
        <x:v>LO Direktur Utama - Pupuk Indonesia Pangan</x:v>
      </x:c>
      <x:c r="E178" s="20" t="str">
        <x:v>5200003</x:v>
      </x:c>
      <x:c r="F178" s="20" t="str">
        <x:v>Daftar LO</x:v>
      </x:c>
      <x:c r="G178" s="20" t="str">
        <x:v>Ya</x:v>
      </x:c>
      <x:c r="H178" s="20" t="str"/>
    </x:row>
    <x:row r="179">
      <x:c r="A179" s="20" t="str">
        <x:v>P-178</x:v>
      </x:c>
      <x:c r="B179" s="20" t="str">
        <x:v>Hendrawan Syahputra</x:v>
      </x:c>
      <x:c r="C179" s="20" t="str">
        <x:v>PT Pupuk Iskandar Muda</x:v>
      </x:c>
      <x:c r="D179" s="20" t="str">
        <x:v>LO Komisaris - Pupuk Indonesia Pangan</x:v>
      </x:c>
      <x:c r="E179" s="20" t="str">
        <x:v>5180060</x:v>
      </x:c>
      <x:c r="F179" s="20" t="str">
        <x:v>Daftar LO</x:v>
      </x:c>
      <x:c r="G179" s="20" t="str">
        <x:v>Ya</x:v>
      </x:c>
      <x:c r="H179" s="20" t="str"/>
    </x:row>
    <x:row r="180">
      <x:c r="A180" s="20" t="str">
        <x:v>P-179</x:v>
      </x:c>
      <x:c r="B180" s="20" t="str">
        <x:v>Rezky Mastura</x:v>
      </x:c>
      <x:c r="C180" s="20" t="str">
        <x:v>PT Pupuk Iskandar Muda</x:v>
      </x:c>
      <x:c r="D180" s="20" t="str">
        <x:v>LO Ketua PIKA - Pupuk Indonesia Niaga</x:v>
      </x:c>
      <x:c r="E180" s="20" t="str">
        <x:v>5180039</x:v>
      </x:c>
      <x:c r="F180" s="20" t="str">
        <x:v>Daftar LO</x:v>
      </x:c>
      <x:c r="G180" s="20" t="str">
        <x:v>Ya</x:v>
      </x:c>
      <x:c r="H180" s="20" t="str"/>
    </x:row>
    <x:row r="181">
      <x:c r="A181" s="20" t="str">
        <x:v>P-180</x:v>
      </x:c>
      <x:c r="B181" s="20" t="str">
        <x:v>Ikhfan Syafii</x:v>
      </x:c>
      <x:c r="C181" s="20" t="str">
        <x:v>PT Pupuk Iskandar Muda</x:v>
      </x:c>
      <x:c r="D181" s="20" t="str">
        <x:v>LO Komisaris - Pupuk Indonesia Niaga</x:v>
      </x:c>
      <x:c r="E181" s="20" t="str">
        <x:v>5200010</x:v>
      </x:c>
      <x:c r="F181" s="20" t="str">
        <x:v>Daftar LO</x:v>
      </x:c>
      <x:c r="G181" s="20" t="str">
        <x:v>Ya</x:v>
      </x:c>
      <x:c r="H181" s="20" t="str"/>
    </x:row>
    <x:row r="182">
      <x:c r="A182" s="20" t="str">
        <x:v>P-181</x:v>
      </x:c>
      <x:c r="B182" s="20" t="str">
        <x:v>Sujuddin Wahyu</x:v>
      </x:c>
      <x:c r="C182" s="20" t="str">
        <x:v>PT Pupuk Iskandar Muda</x:v>
      </x:c>
      <x:c r="D182" s="20" t="str">
        <x:v>LO Para Direksi - Pupuk Indonesia Niaga</x:v>
      </x:c>
      <x:c r="E182" s="20" t="str">
        <x:v>5180059</x:v>
      </x:c>
      <x:c r="F182" s="20" t="str">
        <x:v>Daftar LO</x:v>
      </x:c>
      <x:c r="G182" s="20" t="str">
        <x:v>Ya</x:v>
      </x:c>
      <x:c r="H182" s="20" t="str"/>
    </x:row>
    <x:row r="183">
      <x:c r="A183" s="20" t="str">
        <x:v>P-182</x:v>
      </x:c>
      <x:c r="B183" s="20" t="str">
        <x:v>Rizki Azhari Ramanda</x:v>
      </x:c>
      <x:c r="C183" s="20" t="str">
        <x:v>PT Pupuk Iskandar Muda</x:v>
      </x:c>
      <x:c r="D183" s="20" t="str">
        <x:v>LO Para Komisaris - Komisaris PIM</x:v>
      </x:c>
      <x:c r="E183" s="20" t="str">
        <x:v>5091967</x:v>
      </x:c>
      <x:c r="F183" s="20" t="str">
        <x:v>Daftar LO</x:v>
      </x:c>
      <x:c r="G183" s="20" t="str">
        <x:v>Ya</x:v>
      </x:c>
      <x:c r="H183" s="20" t="str"/>
    </x:row>
    <x:row r="184">
      <x:c r="A184" s="20" t="str">
        <x:v>P-183</x:v>
      </x:c>
      <x:c r="B184" s="20" t="str">
        <x:v>Dedy Ikhsan</x:v>
      </x:c>
      <x:c r="C184" s="20" t="str">
        <x:v>PT Pupuk Iskandar Muda</x:v>
      </x:c>
      <x:c r="D184" s="20" t="str">
        <x:v>LO Wamen Pertanian RI - Kementerian Pertanian RI</x:v>
      </x:c>
      <x:c r="E184" s="20" t="str">
        <x:v>5091886</x:v>
      </x:c>
      <x:c r="F184" s="20" t="str">
        <x:v>Daftar LO</x:v>
      </x:c>
      <x:c r="G184" s="20" t="str">
        <x:v>Ya</x:v>
      </x:c>
      <x:c r="H184" s="20" t="str"/>
    </x:row>
    <x:row r="185">
      <x:c r="A185" s="20" t="str">
        <x:v>P-184</x:v>
      </x:c>
      <x:c r="B185" s="20" t="str">
        <x:v>Rizki Putra Phonna</x:v>
      </x:c>
      <x:c r="C185" s="20" t="str">
        <x:v>PT Pupuk Iskandar Muda</x:v>
      </x:c>
      <x:c r="D185" s="20" t="str">
        <x:v>LO Wamen Pertanian RI - Kementerian Pertanian RI</x:v>
      </x:c>
      <x:c r="E185" s="20" t="str">
        <x:v>5122017</x:v>
      </x:c>
      <x:c r="F185" s="20" t="str">
        <x:v>Daftar LO</x:v>
      </x:c>
      <x:c r="G185" s="20" t="str">
        <x:v>Ya</x:v>
      </x:c>
      <x:c r="H185" s="20" t="str"/>
    </x:row>
    <x:row r="186">
      <x:c r="A186" s="20" t="str">
        <x:v>P-185</x:v>
      </x:c>
      <x:c r="B186" s="20" t="str">
        <x:v>M. Sufi</x:v>
      </x:c>
      <x:c r="C186" s="20" t="str">
        <x:v>PT Pupuk Iskandar Muda</x:v>
      </x:c>
      <x:c r="D186" s="20" t="str">
        <x:v>LO Pimpinan DAM - Danantara</x:v>
      </x:c>
      <x:c r="E186" s="20" t="str">
        <x:v>5091966</x:v>
      </x:c>
      <x:c r="F186" s="20" t="str">
        <x:v>Daftar LO</x:v>
      </x:c>
      <x:c r="G186" s="20" t="str">
        <x:v>Ya</x:v>
      </x:c>
      <x:c r="H186" s="20" t="str"/>
    </x:row>
    <x:row r="187">
      <x:c r="A187" s="20" t="str">
        <x:v>P-186</x:v>
      </x:c>
      <x:c r="B187" s="20" t="str">
        <x:v>Hushaini Hasan</x:v>
      </x:c>
      <x:c r="C187" s="20" t="str">
        <x:v>PT Pupuk Iskandar Muda</x:v>
      </x:c>
      <x:c r="D187" s="20" t="str">
        <x:v>LO Pimpinan BP BUMN - BP BUMN</x:v>
      </x:c>
      <x:c r="E187" s="20" t="str">
        <x:v>5122006</x:v>
      </x:c>
      <x:c r="F187" s="20" t="str">
        <x:v>Daftar LO</x:v>
      </x:c>
      <x:c r="G187" s="20" t="str">
        <x:v>Ya</x:v>
      </x:c>
      <x:c r="H187" s="20" t="str"/>
    </x:row>
    <x:row r="188">
      <x:c r="A188" s="20" t="str">
        <x:v>P-187</x:v>
      </x:c>
      <x:c r="B188" s="20" t="str">
        <x:v>Herik</x:v>
      </x:c>
      <x:c r="C188" s="20" t="str">
        <x:v>PT Pupuk Iskandar Muda</x:v>
      </x:c>
      <x:c r="D188" s="20" t="str">
        <x:v>LO Pimpinan BP BUMN - BP BUMN</x:v>
      </x:c>
      <x:c r="E188" s="20" t="str">
        <x:v>5091897</x:v>
      </x:c>
      <x:c r="F188" s="20" t="str">
        <x:v>Daftar LO</x:v>
      </x:c>
      <x:c r="G188" s="20" t="str">
        <x:v>Ya</x:v>
      </x:c>
      <x:c r="H188" s="20" t="str"/>
    </x:row>
    <x:row r="189">
      <x:c r="A189" s="20" t="str">
        <x:v>P-188</x:v>
      </x:c>
      <x:c r="B189" s="20" t="str">
        <x:v>Ferdiyansyah</x:v>
      </x:c>
      <x:c r="C189" s="20" t="str">
        <x:v>PT Pupuk Iskandar Muda</x:v>
      </x:c>
      <x:c r="D189" s="20" t="str">
        <x:v>LO Chief Instructor - Vibravision</x:v>
      </x:c>
      <x:c r="E189" s="20" t="str">
        <x:v>5121997</x:v>
      </x:c>
      <x:c r="F189" s="20" t="str">
        <x:v>Daftar LO</x:v>
      </x:c>
      <x:c r="G189" s="20" t="str">
        <x:v>Ya</x:v>
      </x:c>
      <x:c r="H189" s="20" t="str"/>
    </x:row>
    <x:row r="190">
      <x:c r="A190" s="20" t="str">
        <x:v>P-189</x:v>
      </x:c>
      <x:c r="B190" s="20" t="str">
        <x:v>Jimmy Fauzan Satria</x:v>
      </x:c>
      <x:c r="C190" s="20" t="str">
        <x:v>PT Pupuk Iskandar Muda</x:v>
      </x:c>
      <x:c r="D190" s="20" t="str">
        <x:v>LO Global Head of Strategy - Bloomberg NEF</x:v>
      </x:c>
      <x:c r="E190" s="20" t="str">
        <x:v>5121995</x:v>
      </x:c>
      <x:c r="F190" s="20" t="str">
        <x:v>Daftar LO</x:v>
      </x:c>
      <x:c r="G190" s="20" t="str">
        <x:v>Ya</x:v>
      </x:c>
      <x:c r="H190" s="20" t="str"/>
    </x:row>
    <x:row r="191">
      <x:c r="A191" s="20" t="str">
        <x:v>P-190</x:v>
      </x:c>
      <x:c r="B191" s="20" t="str">
        <x:v>Athaillah</x:v>
      </x:c>
      <x:c r="C191" s="20" t="str">
        <x:v>PT Pupuk Iskandar Muda</x:v>
      </x:c>
      <x:c r="D191" s="20" t="str">
        <x:v>LO Pendamping - Komisaris PI etc</x:v>
      </x:c>
      <x:c r="E191" s="20" t="str">
        <x:v>5122016</x:v>
      </x:c>
      <x:c r="F191" s="20" t="str">
        <x:v>Daftar LO</x:v>
      </x:c>
      <x:c r="G191" s="20" t="str">
        <x:v>Ya</x:v>
      </x:c>
      <x:c r="H191" s="20" t="str"/>
    </x:row>
  </x:sheetData>
  <x:dataValidations count="1">
    <x:dataValidation type="list" sqref="G2:G5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31010e33b4a6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0" hidden="0" customWidth="1"/>
    <x:col min="4" max="4" width="16" hidden="0" customWidth="1"/>
    <x:col min="5" max="5" width="24" hidden="0" customWidth="1"/>
    <x:col min="6" max="6" width="20" hidden="0" customWidth="1"/>
    <x:col min="7" max="7" width="45" hidden="0" customWidth="1"/>
    <x:col min="8" max="8" width="20" hidden="0" customWidth="1"/>
    <x:col min="9" max="9" width="30" hidden="0" customWidth="1"/>
  </x:cols>
  <x:sheetData>
    <x:row r="1" ht="30" customHeight="1">
      <x:c r="A1" s="14" t="str">
        <x:v>EO Scope ID</x:v>
      </x:c>
      <x:c r="B1" s="14" t="str">
        <x:v>Event</x:v>
      </x:c>
      <x:c r="C1" s="14" t="str">
        <x:v>Deliverable</x:v>
      </x:c>
      <x:c r="D1" s="14" t="str">
        <x:v>Scope Owner</x:v>
      </x:c>
      <x:c r="E1" s="14" t="str">
        <x:v>Counterpart / Approver</x:v>
      </x:c>
      <x:c r="F1" s="14" t="str">
        <x:v>Status</x:v>
      </x:c>
      <x:c r="G1" s="14" t="str">
        <x:v>Notes</x:v>
      </x:c>
      <x:c r="H1" s="14" t="str">
        <x:v>Verification</x:v>
      </x:c>
      <x:c r="I1" s="14" t="str">
        <x:v>Evidence Link</x:v>
      </x:c>
    </x:row>
    <x:row r="2">
      <x:c r="A2" s="20" t="str">
        <x:v>EO-001</x:v>
      </x:c>
      <x:c r="B2" s="20" t="str">
        <x:v>Semua</x:v>
      </x:c>
      <x:c r="C2" s="20" t="str">
        <x:v>Survey venue dan pengukuran</x:v>
      </x:c>
      <x:c r="D2" s="20" t="str">
        <x:v>EO</x:v>
      </x:c>
      <x:c r="E2" s="20" t="str">
        <x:v>PIM</x:v>
      </x:c>
      <x:c r="F2" s="20" t="str">
        <x:v>TBC</x:v>
      </x:c>
      <x:c r="G2" s="20" t="str">
        <x:v>Survey awal Plenary telah dilakukan; bukti dan output perlu diunggah.</x:v>
      </x:c>
      <x:c r="H2" s="20" t="str">
        <x:v>Belum Diverifikasi</x:v>
      </x:c>
      <x:c r="I2" s="20" t="str"/>
    </x:row>
    <x:row r="3">
      <x:c r="A3" s="20" t="str">
        <x:v>EO-002</x:v>
      </x:c>
      <x:c r="B3" s="20" t="str">
        <x:v>Raker RKAP</x:v>
      </x:c>
      <x:c r="C3" s="20" t="str">
        <x:v>Tenda Roder, flooring dan struktur</x:v>
      </x:c>
      <x:c r="D3" s="20" t="str">
        <x:v>EO</x:v>
      </x:c>
      <x:c r="E3" s="20" t="str">
        <x:v>PIM</x:v>
      </x:c>
      <x:c r="F3" s="20" t="str">
        <x:v>TBC</x:v>
      </x:c>
      <x:c r="G3" s="20" t="str">
        <x:v>Detail kontrak belum tersedia.</x:v>
      </x:c>
      <x:c r="H3" s="20" t="str">
        <x:v>Belum Diverifikasi</x:v>
      </x:c>
      <x:c r="I3" s="20" t="str"/>
    </x:row>
    <x:row r="4">
      <x:c r="A4" s="20" t="str">
        <x:v>EO-003</x:v>
      </x:c>
      <x:c r="B4" s="20" t="str">
        <x:v>Raker RKAP</x:v>
      </x:c>
      <x:c r="C4" s="20" t="str">
        <x:v>Cooling, genset dan distribusi listrik</x:v>
      </x:c>
      <x:c r="D4" s="20" t="str">
        <x:v>EO</x:v>
      </x:c>
      <x:c r="E4" s="20" t="str">
        <x:v>PIM</x:v>
      </x:c>
      <x:c r="F4" s="20" t="str">
        <x:v>TBC</x:v>
      </x:c>
      <x:c r="G4" s="20" t="str">
        <x:v>Konfirmasi kapasitas dan backup.</x:v>
      </x:c>
      <x:c r="H4" s="20" t="str">
        <x:v>Belum Diverifikasi</x:v>
      </x:c>
      <x:c r="I4" s="20" t="str"/>
    </x:row>
    <x:row r="5">
      <x:c r="A5" s="20" t="str">
        <x:v>EO-004</x:v>
      </x:c>
      <x:c r="B5" s="20" t="str">
        <x:v>Plenary</x:v>
      </x:c>
      <x:c r="C5" s="20" t="str">
        <x:v>Layout, stage, backdrop, LED dan audio</x:v>
      </x:c>
      <x:c r="D5" s="20" t="str">
        <x:v>EO</x:v>
      </x:c>
      <x:c r="E5" s="20" t="str">
        <x:v>PIM/PI Group</x:v>
      </x:c>
      <x:c r="F5" s="20" t="str">
        <x:v>TBC</x:v>
      </x:c>
      <x:c r="G5" s="20" t="str">
        <x:v>Layout final belum tersedia.</x:v>
      </x:c>
      <x:c r="H5" s="20" t="str">
        <x:v>Belum Diverifikasi</x:v>
      </x:c>
      <x:c r="I5" s="20" t="str"/>
    </x:row>
    <x:row r="6">
      <x:c r="A6" s="20" t="str">
        <x:v>EO-005</x:v>
      </x:c>
      <x:c r="B6" s="20" t="str">
        <x:v>Olimpiade</x:v>
      </x:c>
      <x:c r="C6" s="20" t="str">
        <x:v>Konversi venue dan setup badminton</x:v>
      </x:c>
      <x:c r="D6" s="20" t="str">
        <x:v>EO</x:v>
      </x:c>
      <x:c r="E6" s="20" t="str">
        <x:v>PIM</x:v>
      </x:c>
      <x:c r="F6" s="20" t="str">
        <x:v>TBC</x:v>
      </x:c>
      <x:c r="G6" s="20" t="str">
        <x:v>Tergantung skenario rundown.</x:v>
      </x:c>
      <x:c r="H6" s="20" t="str">
        <x:v>Belum Diverifikasi</x:v>
      </x:c>
      <x:c r="I6" s="20" t="str"/>
    </x:row>
    <x:row r="7">
      <x:c r="A7" s="20" t="str">
        <x:v>EO-006</x:v>
      </x:c>
      <x:c r="B7" s="20" t="str">
        <x:v>Seluruh Venue</x:v>
      </x:c>
      <x:c r="C7" s="20" t="str">
        <x:v>Branding, signage dan dekorasi</x:v>
      </x:c>
      <x:c r="D7" s="20" t="str">
        <x:v>EO</x:v>
      </x:c>
      <x:c r="E7" s="20" t="str">
        <x:v>PIM/PI Group</x:v>
      </x:c>
      <x:c r="F7" s="20" t="str">
        <x:v>TBC</x:v>
      </x:c>
      <x:c r="G7" s="20" t="str"/>
      <x:c r="H7" s="20" t="str">
        <x:v>Belum Diverifikasi</x:v>
      </x:c>
      <x:c r="I7" s="20" t="str"/>
    </x:row>
    <x:row r="8">
      <x:c r="A8" s="20" t="str">
        <x:v>EO-007</x:v>
      </x:c>
      <x:c r="B8" s="20" t="str">
        <x:v>Seluruh Venue</x:v>
      </x:c>
      <x:c r="C8" s="20" t="str">
        <x:v>Manpower teknis dan operator</x:v>
      </x:c>
      <x:c r="D8" s="20" t="str">
        <x:v>EO</x:v>
      </x:c>
      <x:c r="E8" s="20" t="str">
        <x:v>PIM</x:v>
      </x:c>
      <x:c r="F8" s="20" t="str">
        <x:v>TBC</x:v>
      </x:c>
      <x:c r="G8" s="20" t="str"/>
      <x:c r="H8" s="20" t="str">
        <x:v>Belum Diverifikasi</x:v>
      </x:c>
      <x:c r="I8" s="20" t="str"/>
    </x:row>
    <x:row r="9">
      <x:c r="A9" s="20" t="str">
        <x:v>EO-008</x:v>
      </x:c>
      <x:c r="B9" s="20" t="str">
        <x:v>Seluruh Venue</x:v>
      </x:c>
      <x:c r="C9" s="20" t="str">
        <x:v>Gladi, handover dan punch list</x:v>
      </x:c>
      <x:c r="D9" s="20" t="str">
        <x:v>Shared</x:v>
      </x:c>
      <x:c r="E9" s="20" t="str">
        <x:v>PIM/PI Group</x:v>
      </x:c>
      <x:c r="F9" s="20" t="str">
        <x:v>TBC</x:v>
      </x:c>
      <x:c r="G9" s="20" t="str"/>
      <x:c r="H9" s="20" t="str">
        <x:v>Belum Diverifikasi</x:v>
      </x:c>
      <x:c r="I9" s="20" t="str"/>
    </x:row>
  </x:sheetData>
  <x:dataValidations count="3">
    <x:dataValidation type="list" sqref="D2:D200">
      <x:formula1>Lists_Settings!$F$3:$F$7</x:formula1>
    </x:dataValidation>
    <x:dataValidation type="list" sqref="F2:F200">
      <x:formula1>Lists_Settings!$L$3:$L$7</x:formula1>
    </x:dataValidation>
    <x:dataValidation type="list" sqref="H2:H200">
      <x:formula1>Lists_Settings!$G$3:$G$6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9d3df4e6af477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0" hidden="0" customWidth="1"/>
    <x:col min="4" max="4" width="45" hidden="0" customWidth="1"/>
    <x:col min="5" max="5" width="24" hidden="0" customWidth="1"/>
    <x:col min="6" max="6" width="24" hidden="0" customWidth="1"/>
    <x:col min="7" max="7" width="14" hidden="0" customWidth="1"/>
    <x:col min="8" max="8" width="16" hidden="0" customWidth="1"/>
    <x:col min="9" max="9" width="45" hidden="0" customWidth="1"/>
    <x:col min="10" max="10" width="45" hidden="0" customWidth="1"/>
    <x:col min="11" max="11" width="14" hidden="0" customWidth="1"/>
  </x:cols>
  <x:sheetData>
    <x:row r="1" ht="30" customHeight="1">
      <x:c r="A1" s="14" t="str">
        <x:v>Issue ID</x:v>
      </x:c>
      <x:c r="B1" s="14" t="str">
        <x:v>Priority</x:v>
      </x:c>
      <x:c r="C1" s="14" t="str">
        <x:v>Category</x:v>
      </x:c>
      <x:c r="D1" s="14" t="str">
        <x:v>Issue / Decision Required</x:v>
      </x:c>
      <x:c r="E1" s="14" t="str">
        <x:v>Decision Owner</x:v>
      </x:c>
      <x:c r="F1" s="14" t="str">
        <x:v>Action Owner</x:v>
      </x:c>
      <x:c r="G1" s="14" t="str">
        <x:v>Due Date</x:v>
      </x:c>
      <x:c r="H1" s="14" t="str">
        <x:v>Status</x:v>
      </x:c>
      <x:c r="I1" s="14" t="str">
        <x:v>Impact</x:v>
      </x:c>
      <x:c r="J1" s="14" t="str">
        <x:v>Required Action / Decision</x:v>
      </x:c>
      <x:c r="K1" s="14" t="str">
        <x:v>Publish to PWA</x:v>
      </x:c>
    </x:row>
    <x:row r="2">
      <x:c r="A2" s="20" t="str">
        <x:v>ISS-001</x:v>
      </x:c>
      <x:c r="B2" s="20" t="str">
        <x:v>Critical</x:v>
      </x:c>
      <x:c r="C2" s="20" t="str">
        <x:v>Rundown</x:v>
      </x:c>
      <x:c r="D2" s="20" t="str">
        <x:v>Keputusan urutan Raker RKAP dan Plenary belum final</x:v>
      </x:c>
      <x:c r="E2" s="20" t="str">
        <x:v>Direksi/PI Group</x:v>
      </x:c>
      <x:c r="F2" s="20" t="str">
        <x:v>Heri Afriadi Aka</x:v>
      </x:c>
      <x:c r="G2" s="30" t="n">
        <x:v>46234</x:v>
      </x:c>
      <x:c r="H2" s="20" t="str">
        <x:v>Open</x:v>
      </x:c>
      <x:c r="I2" s="20" t="str">
        <x:v>Perubahan urutan memengaruhi venue, transportasi, konsumsi dan gladi.</x:v>
      </x:c>
      <x:c r="J2" s="20" t="str">
        <x:v>Tetapkan skenario aktif dan approval.</x:v>
      </x:c>
      <x:c r="K2" s="20" t="str">
        <x:v>Ya</x:v>
      </x:c>
    </x:row>
    <x:row r="3">
      <x:c r="A3" s="20" t="str">
        <x:v>ISS-002</x:v>
      </x:c>
      <x:c r="B3" s="20" t="str">
        <x:v>Critical</x:v>
      </x:c>
      <x:c r="C3" s="20" t="str">
        <x:v>EO</x:v>
      </x:c>
      <x:c r="D3" s="20" t="str">
        <x:v>Scope EO belum tersedia</x:v>
      </x:c>
      <x:c r="E3" s="20" t="str">
        <x:v>PIM &amp; EO</x:v>
      </x:c>
      <x:c r="F3" s="20" t="str">
        <x:v>Heri Afriadi Aka</x:v>
      </x:c>
      <x:c r="G3" s="30" t="n">
        <x:v>46233</x:v>
      </x:c>
      <x:c r="H3" s="20" t="str">
        <x:v>Open</x:v>
      </x:c>
      <x:c r="I3" s="20" t="str">
        <x:v>Risiko overlap atau gap tanggung jawab.</x:v>
      </x:c>
      <x:c r="J3" s="20" t="str">
        <x:v>Masukkan proposal/kontrak EO dan review deliverable.</x:v>
      </x:c>
      <x:c r="K3" s="20" t="str">
        <x:v>Ya</x:v>
      </x:c>
    </x:row>
    <x:row r="4">
      <x:c r="A4" s="20" t="str">
        <x:v>ISS-003</x:v>
      </x:c>
      <x:c r="B4" s="20" t="str">
        <x:v>Critical</x:v>
      </x:c>
      <x:c r="C4" s="20" t="str">
        <x:v>Accommodation</x:v>
      </x:c>
      <x:c r="D4" s="20" t="str">
        <x:v>Blocking hotel belum terkonfirmasi</x:v>
      </x:c>
      <x:c r="E4" s="20" t="str">
        <x:v>PIM</x:v>
      </x:c>
      <x:c r="F4" s="20" t="str"/>
      <x:c r="G4" s="30" t="n">
        <x:v>46233</x:v>
      </x:c>
      <x:c r="H4" s="20" t="str">
        <x:v>Open</x:v>
      </x:c>
      <x:c r="I4" s="20" t="str">
        <x:v>Risiko kamar tidak tersedia/berubah.</x:v>
      </x:c>
      <x:c r="J4" s="20" t="str">
        <x:v>Dapatkan konfirmasi tertulis hotel.</x:v>
      </x:c>
      <x:c r="K4" s="20" t="str">
        <x:v>Ya</x:v>
      </x:c>
    </x:row>
    <x:row r="5">
      <x:c r="A5" s="20" t="str">
        <x:v>ISS-004</x:v>
      </x:c>
      <x:c r="B5" s="20" t="str">
        <x:v>Critical</x:v>
      </x:c>
      <x:c r="C5" s="20" t="str">
        <x:v>Venue</x:v>
      </x:c>
      <x:c r="D5" s="20" t="str">
        <x:v>Ruang Keupula masih renovasi; tanggal selesai belum tercatat</x:v>
      </x:c>
      <x:c r="E5" s="20" t="str">
        <x:v>PIM</x:v>
      </x:c>
      <x:c r="F5" s="20" t="str">
        <x:v>Zulfajri Ery Syahputra</x:v>
      </x:c>
      <x:c r="G5" s="30" t="n">
        <x:v>46237</x:v>
      </x:c>
      <x:c r="H5" s="20" t="str">
        <x:v>Open</x:v>
      </x:c>
      <x:c r="I5" s="20" t="str">
        <x:v>Rakor Dirut dapat kehilangan venue utama.</x:v>
      </x:c>
      <x:c r="J5" s="20" t="str">
        <x:v>Konfirmasi jadwal renovasi dan venue cadangan.</x:v>
      </x:c>
      <x:c r="K5" s="20" t="str">
        <x:v>Ya</x:v>
      </x:c>
    </x:row>
    <x:row r="6">
      <x:c r="A6" s="20" t="str">
        <x:v>ISS-005</x:v>
      </x:c>
      <x:c r="B6" s="20" t="str">
        <x:v>High</x:v>
      </x:c>
      <x:c r="C6" s="20" t="str">
        <x:v>Venue Conversion</x:v>
      </x:c>
      <x:c r="D6" s="20" t="str">
        <x:v>Urutan Plenary dan Badminton menentukan jendela konversi</x:v>
      </x:c>
      <x:c r="E6" s="20" t="str">
        <x:v>PIM &amp; EO</x:v>
      </x:c>
      <x:c r="F6" s="20" t="str">
        <x:v>Zulfajri Ery Syahputra</x:v>
      </x:c>
      <x:c r="G6" s="30" t="n">
        <x:v>46237</x:v>
      </x:c>
      <x:c r="H6" s="20" t="str">
        <x:v>Open</x:v>
      </x:c>
      <x:c r="I6" s="20" t="str">
        <x:v>Skenario C membutuhkan konversi semalam.</x:v>
      </x:c>
      <x:c r="J6" s="20" t="str">
        <x:v>Buat time-and-motion plan untuk tiap skenario.</x:v>
      </x:c>
      <x:c r="K6" s="20" t="str">
        <x:v>Ya</x:v>
      </x:c>
    </x:row>
    <x:row r="7">
      <x:c r="A7" s="20" t="str">
        <x:v>ISS-006</x:v>
      </x:c>
      <x:c r="B7" s="20" t="str">
        <x:v>Critical</x:v>
      </x:c>
      <x:c r="C7" s="20" t="str">
        <x:v>Transport</x:v>
      </x:c>
      <x:c r="D7" s="20" t="str">
        <x:v>Jadwal flight komersial dan charter masih TBC</x:v>
      </x:c>
      <x:c r="E7" s="20" t="str">
        <x:v>PI Group &amp; PIM</x:v>
      </x:c>
      <x:c r="F7" s="20" t="str">
        <x:v>Dharlyani</x:v>
      </x:c>
      <x:c r="G7" s="30" t="n">
        <x:v>46234</x:v>
      </x:c>
      <x:c r="H7" s="20" t="str">
        <x:v>Open</x:v>
      </x:c>
      <x:c r="I7" s="20" t="str">
        <x:v>Memengaruhi seluruh rundown dan kendaraan.</x:v>
      </x:c>
      <x:c r="J7" s="20" t="str">
        <x:v>Konfirmasi operator/airline dan manifest.</x:v>
      </x:c>
      <x:c r="K7" s="20" t="str">
        <x:v>Ya</x:v>
      </x:c>
    </x:row>
    <x:row r="8">
      <x:c r="A8" s="20" t="str">
        <x:v>ISS-007</x:v>
      </x:c>
      <x:c r="B8" s="20" t="str">
        <x:v>High</x:v>
      </x:c>
      <x:c r="C8" s="20" t="str">
        <x:v>Plenary</x:v>
      </x:c>
      <x:c r="D8" s="20" t="str">
        <x:v>Konfirmasi pembicara dan durasi keynote belum lengkap</x:v>
      </x:c>
      <x:c r="E8" s="20" t="str">
        <x:v>PI Group</x:v>
      </x:c>
      <x:c r="F8" s="20" t="str"/>
      <x:c r="G8" s="30" t="n">
        <x:v>46238</x:v>
      </x:c>
      <x:c r="H8" s="20" t="str">
        <x:v>Open</x:v>
      </x:c>
      <x:c r="I8" s="20" t="str">
        <x:v>Rundown Plenary belum dapat dikunci.</x:v>
      </x:c>
      <x:c r="J8" s="20" t="str">
        <x:v>Konfirmasi pembicara, pendamping dan materi.</x:v>
      </x:c>
      <x:c r="K8" s="20" t="str">
        <x:v>Ya</x:v>
      </x:c>
    </x:row>
    <x:row r="9">
      <x:c r="A9" s="20" t="str">
        <x:v>ISS-008</x:v>
      </x:c>
      <x:c r="B9" s="20" t="str">
        <x:v>High</x:v>
      </x:c>
      <x:c r="C9" s="20" t="str">
        <x:v>Accommodation</x:v>
      </x:c>
      <x:c r="D9" s="20" t="str">
        <x:v>18 kamar Rumah Komplek membutuhkan furnishing</x:v>
      </x:c>
      <x:c r="E9" s="20" t="str">
        <x:v>PIM</x:v>
      </x:c>
      <x:c r="F9" s="20" t="str"/>
      <x:c r="G9" s="30" t="n">
        <x:v>46239</x:v>
      </x:c>
      <x:c r="H9" s="20" t="str">
        <x:v>Open</x:v>
      </x:c>
      <x:c r="I9" s="20" t="str">
        <x:v>Kapasitas kamar ready lebih rendah dari inventori.</x:v>
      </x:c>
      <x:c r="J9" s="20" t="str">
        <x:v>Tetapkan PIC, material dan jadwal furnishing.</x:v>
      </x:c>
      <x:c r="K9" s="20" t="str">
        <x:v>Ya</x:v>
      </x:c>
    </x:row>
  </x:sheetData>
  <x:conditionalFormatting sqref="H2:H9">
    <x:cfRule type="expression" dxfId="9" priority="1">
      <x:formula>H2="Resolved"</x:formula>
    </x:cfRule>
    <x:cfRule type="expression" dxfId="10" priority="2">
      <x:formula>H2="Open"</x:formula>
    </x:cfRule>
  </x:conditionalFormatting>
  <x:dataValidations count="3">
    <x:dataValidation type="list" sqref="B2:B200">
      <x:formula1>Lists_Settings!$E$3:$E$6</x:formula1>
    </x:dataValidation>
    <x:dataValidation type="list" sqref="H2:H200">
      <x:formula1>Lists_Settings!$K$3:$K$6</x:formula1>
    </x:dataValidation>
    <x:dataValidation type="list" sqref="K2:K2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f5f3fb96ae4ad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55" hidden="0" customWidth="1"/>
    <x:col min="4" max="4" width="18" hidden="0" customWidth="1"/>
    <x:col min="5" max="5" width="16" hidden="0" customWidth="1"/>
    <x:col min="6" max="6" width="45" hidden="0" customWidth="1"/>
    <x:col min="7" max="7" width="14" hidden="0" customWidth="1"/>
    <x:col min="8" max="8" width="52" hidden="0" customWidth="1"/>
  </x:cols>
  <x:sheetData>
    <x:row r="1" ht="30" customHeight="1">
      <x:c r="A1" s="14" t="str">
        <x:v>Document ID</x:v>
      </x:c>
      <x:c r="B1" s="14" t="str">
        <x:v>Document Name</x:v>
      </x:c>
      <x:c r="C1" s="14" t="str">
        <x:v>File Name</x:v>
      </x:c>
      <x:c r="D1" s="14" t="str">
        <x:v>Category</x:v>
      </x:c>
      <x:c r="E1" s="14" t="str">
        <x:v>Status</x:v>
      </x:c>
      <x:c r="F1" s="14" t="str">
        <x:v>Drive Link / Action</x:v>
      </x:c>
      <x:c r="G1" s="14" t="str">
        <x:v>Publish to PWA</x:v>
      </x:c>
      <x:c r="H1" s="14" t="str">
        <x:v>Notes</x:v>
      </x:c>
    </x:row>
    <x:row r="2">
      <x:c r="A2" s="20" t="str">
        <x:v>DOC-001</x:v>
      </x:c>
      <x:c r="B2" s="20" t="str">
        <x:v>Rundown working alternative</x:v>
      </x:c>
      <x:c r="C2" s="20" t="str">
        <x:v>Rundown Olimpiade Setelah Raker.xlsx</x:v>
      </x:c>
      <x:c r="D2" s="20" t="str">
        <x:v>Rundown</x:v>
      </x:c>
      <x:c r="E2" s="20" t="str">
        <x:v>Aktif</x:v>
      </x:c>
      <x:c r="F2" s="20" t="str">
        <x:v>Google Drive link diisi setelah upload</x:v>
      </x:c>
      <x:c r="G2" s="20" t="str">
        <x:v>Ya</x:v>
      </x:c>
      <x:c r="H2" s="20" t="str">
        <x:v>10–12 Agustus 2026</x:v>
      </x:c>
    </x:row>
    <x:row r="3">
      <x:c r="A3" s="20" t="str">
        <x:v>DOC-002</x:v>
      </x:c>
      <x:c r="B3" s="20" t="str">
        <x:v>Accommodation arrangement</x:v>
      </x:c>
      <x:c r="C3" s="20" t="str">
        <x:v>Accommodation_Arrangement_UPDATED.xlsx</x:v>
      </x:c>
      <x:c r="D3" s="20" t="str">
        <x:v>Akomodasi</x:v>
      </x:c>
      <x:c r="E3" s="20" t="str">
        <x:v>Aktif</x:v>
      </x:c>
      <x:c r="F3" s="20" t="str">
        <x:v>Google Drive link diisi setelah upload</x:v>
      </x:c>
      <x:c r="G3" s="20" t="str">
        <x:v>Tidak</x:v>
      </x:c>
      <x:c r="H3" s="20" t="str">
        <x:v>Berisi nomor kamar dan data sensitif.</x:v>
      </x:c>
    </x:row>
    <x:row r="4">
      <x:c r="A4" s="20" t="str">
        <x:v>DOC-003</x:v>
      </x:c>
      <x:c r="B4" s="20" t="str">
        <x:v>Bahan Rakor BOD Persiapan</x:v>
      </x:c>
      <x:c r="C4" s="20" t="str">
        <x:v>Bahan_Rakor_BOD_Persiapan_Raker_RKAP_2027 R01.pptx</x:v>
      </x:c>
      <x:c r="D4" s="20" t="str">
        <x:v>Presentasi</x:v>
      </x:c>
      <x:c r="E4" s="20" t="str">
        <x:v>Aktif</x:v>
      </x:c>
      <x:c r="F4" s="20" t="str">
        <x:v>Google Drive link diisi setelah upload</x:v>
      </x:c>
      <x:c r="G4" s="20" t="str">
        <x:v>Ya</x:v>
      </x:c>
      <x:c r="H4" s="20" t="str">
        <x:v>Menggunakan tanggal 10–12 Agustus 2026.</x:v>
      </x:c>
    </x:row>
    <x:row r="5">
      <x:c r="A5" s="20" t="str">
        <x:v>DOC-004</x:v>
      </x:c>
      <x:c r="B5" s="20" t="str">
        <x:v>HLB Propose Deck</x:v>
      </x:c>
      <x:c r="C5" s="20" t="str">
        <x:v>[HLB] Propose Deck Event Rangkaian Kegiatan Raker RKAP 2027 PI Group.pptx</x:v>
      </x:c>
      <x:c r="D5" s="20" t="str">
        <x:v>Presentasi</x:v>
      </x:c>
      <x:c r="E5" s="20" t="str">
        <x:v>Obsolete</x:v>
      </x:c>
      <x:c r="F5" s="20" t="str">
        <x:v>Google Drive link diisi setelah upload</x:v>
      </x:c>
      <x:c r="G5" s="20" t="str">
        <x:v>Tidak</x:v>
      </x:c>
      <x:c r="H5" s="20" t="str">
        <x:v>Tanggal 12–14 Agustus 2026; hanya referensi scope/peran.</x:v>
      </x:c>
    </x:row>
    <x:row r="6">
      <x:c r="A6" s="20" t="str">
        <x:v>DOC-005</x:v>
      </x:c>
      <x:c r="B6" s="20" t="str">
        <x:v>Memo Dinas Panitia</x:v>
      </x:c>
      <x:c r="C6" s="20" t="str">
        <x:v>MD HUT ke-81 Kemerdekaan RI Tahun 2026, Rakor Dirut Pi Group &amp; Olahraga Bersama Pi Group.PDF</x:v>
      </x:c>
      <x:c r="D6" s="20" t="str">
        <x:v>Surat/MD</x:v>
      </x:c>
      <x:c r="E6" s="20" t="str">
        <x:v>Referensi</x:v>
      </x:c>
      <x:c r="F6" s="20" t="str">
        <x:v>Google Drive link diisi setelah upload</x:v>
      </x:c>
      <x:c r="G6" s="20" t="str">
        <x:v>Tidak</x:v>
      </x:c>
      <x:c r="H6" s="20" t="str">
        <x:v>Digunakan sebagai referensi struktur panitia.</x:v>
      </x:c>
    </x:row>
    <x:row r="7">
      <x:c r="A7" s="20" t="str">
        <x:v>DOC-006</x:v>
      </x:c>
      <x:c r="B7" s="20" t="str">
        <x:v>Daftar LO</x:v>
      </x:c>
      <x:c r="C7" s="20" t="str">
        <x:v>List LO Rapat Koordinasi Direktur Utama dan Rapat Kerja RKAP Tahun 2027 Pupuk Indonesia Group.pdf</x:v>
      </x:c>
      <x:c r="D7" s="20" t="str">
        <x:v>LO</x:v>
      </x:c>
      <x:c r="E7" s="20" t="str">
        <x:v>Referensi</x:v>
      </x:c>
      <x:c r="F7" s="20" t="str">
        <x:v>Google Drive link diisi setelah upload</x:v>
      </x:c>
      <x:c r="G7" s="20" t="str">
        <x:v>Tidak</x:v>
      </x:c>
      <x:c r="H7" s="20" t="str">
        <x:v>Badge dan detail internal tidak dipublikasikan.</x:v>
      </x:c>
    </x:row>
  </x:sheetData>
  <x:dataValidations count="1">
    <x:dataValidation type="list" sqref="G2:G200">
      <x:formula1>Lists_Settings!$H$3:$H$4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2531c996034d3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28" hidden="0" customWidth="1"/>
    <x:col min="4" max="4" width="18" hidden="0" customWidth="1"/>
    <x:col min="5" max="5" width="24" hidden="0" customWidth="1"/>
    <x:col min="6" max="6" width="14" hidden="0" customWidth="1"/>
    <x:col min="7" max="7" width="50" hidden="0" customWidth="1"/>
  </x:cols>
  <x:sheetData>
    <x:row r="1" ht="30" customHeight="1">
      <x:c r="A1" s="14" t="str">
        <x:v>User ID</x:v>
      </x:c>
      <x:c r="B1" s="14" t="str">
        <x:v>Email</x:v>
      </x:c>
      <x:c r="C1" s="14" t="str">
        <x:v>Name</x:v>
      </x:c>
      <x:c r="D1" s="14" t="str">
        <x:v>Role</x:v>
      </x:c>
      <x:c r="E1" s="14" t="str">
        <x:v>Scope</x:v>
      </x:c>
      <x:c r="F1" s="14" t="str">
        <x:v>Status</x:v>
      </x:c>
      <x:c r="G1" s="14" t="str">
        <x:v>Notes</x:v>
      </x:c>
    </x:row>
    <x:row r="2">
      <x:c r="A2" s="20" t="str">
        <x:v>USR-001</x:v>
      </x:c>
      <x:c r="B2" s="20" t="str"/>
      <x:c r="C2" s="20" t="str">
        <x:v>Osman M Saftari</x:v>
      </x:c>
      <x:c r="D2" s="20" t="str">
        <x:v>Administrator</x:v>
      </x:c>
      <x:c r="E2" s="20" t="str">
        <x:v>All</x:v>
      </x:c>
      <x:c r="F2" s="20" t="str">
        <x:v>Aktif</x:v>
      </x:c>
      <x:c r="G2" s="20" t="str">
        <x:v>Isi email Google Workspace sebelum share.</x:v>
      </x:c>
    </x:row>
    <x:row r="3">
      <x:c r="A3" s="20" t="str">
        <x:v>USR-002</x:v>
      </x:c>
      <x:c r="B3" s="20" t="str"/>
      <x:c r="C3" s="20" t="str">
        <x:v>Heri Afriadi Aka</x:v>
      </x:c>
      <x:c r="D3" s="20" t="str">
        <x:v>Editor</x:v>
      </x:c>
      <x:c r="E3" s="20" t="str">
        <x:v>All</x:v>
      </x:c>
      <x:c r="F3" s="20" t="str">
        <x:v>Aktif</x:v>
      </x:c>
      <x:c r="G3" s="20" t="str">
        <x:v>Isi email.</x:v>
      </x:c>
    </x:row>
    <x:row r="4">
      <x:c r="A4" s="20" t="str">
        <x:v>USR-003</x:v>
      </x:c>
      <x:c r="B4" s="20" t="str"/>
      <x:c r="C4" s="20" t="str">
        <x:v>Selected PIC</x:v>
      </x:c>
      <x:c r="D4" s="20" t="str">
        <x:v>Editor</x:v>
      </x:c>
      <x:c r="E4" s="20" t="str">
        <x:v>Assigned Area</x:v>
      </x:c>
      <x:c r="F4" s="20" t="str">
        <x:v>TBC</x:v>
      </x:c>
      <x:c r="G4" s="20" t="str">
        <x:v>Tambahkan satu baris per PIC.</x:v>
      </x:c>
    </x:row>
    <x:row r="5">
      <x:c r="A5" s="20" t="str">
        <x:v>USR-004</x:v>
      </x:c>
      <x:c r="B5" s="20" t="str"/>
      <x:c r="C5" s="20" t="str">
        <x:v>Public Viewer</x:v>
      </x:c>
      <x:c r="D5" s="20" t="str">
        <x:v>Viewer</x:v>
      </x:c>
      <x:c r="E5" s="20" t="str">
        <x:v>Sanitized PWA</x:v>
      </x:c>
      <x:c r="F5" s="20" t="str">
        <x:v>Aktif</x:v>
      </x:c>
      <x:c r="G5" s="20" t="str">
        <x:v>Tidak memiliki akses edit ke Google Sheet.</x:v>
      </x:c>
    </x:row>
  </x:sheetData>
  <x:pageMargins left="0.7" right="0.7" top="0.75" bottom="0.75" header="0.3" footer="0.3"/>
  <x:tableParts count="1">
    <x:tablePart xmlns:r="http://schemas.openxmlformats.org/officeDocument/2006/relationships" r:id="R8d23c7a0266e414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5" t="str">
        <x:v>Settings</x:v>
      </x:c>
      <x:c r="B1" s="5"/>
    </x:row>
    <x:row r="2" ht="30" customHeight="1">
      <x:c r="A2" s="14" t="str">
        <x:v>Key</x:v>
      </x:c>
      <x:c r="B2" s="14" t="str">
        <x:v>Value</x:v>
      </x:c>
      <x:c r="D2" s="14" t="str">
        <x:v>Status</x:v>
      </x:c>
      <x:c r="E2" s="14" t="str">
        <x:v>Priority</x:v>
      </x:c>
      <x:c r="F2" s="14" t="str">
        <x:v>Scope Owner</x:v>
      </x:c>
      <x:c r="G2" s="14" t="str">
        <x:v>Verification</x:v>
      </x:c>
      <x:c r="H2" s="14" t="str">
        <x:v>Ya/Tidak</x:v>
      </x:c>
      <x:c r="I2" s="14" t="str">
        <x:v>Scenario</x:v>
      </x:c>
      <x:c r="J2" s="14" t="str">
        <x:v>Update Source</x:v>
      </x:c>
      <x:c r="K2" s="14" t="str">
        <x:v>Issue Status</x:v>
      </x:c>
      <x:c r="L2" s="14" t="str">
        <x:v>EO Status</x:v>
      </x:c>
    </x:row>
    <x:row r="3">
      <x:c r="A3" s="20" t="str">
        <x:v>APP_TITLE</x:v>
      </x:c>
      <x:c r="B3" s="20" t="str">
        <x:v>PI Group Event Readiness Dashboard</x:v>
      </x:c>
      <x:c r="D3" t="str">
        <x:v>Belum Dimulai</x:v>
      </x:c>
      <x:c r="E3" t="str">
        <x:v>Critical</x:v>
      </x:c>
      <x:c r="F3" t="str">
        <x:v>PIM</x:v>
      </x:c>
      <x:c r="G3" t="str">
        <x:v>Belum Diverifikasi</x:v>
      </x:c>
      <x:c r="H3" t="str">
        <x:v>Ya</x:v>
      </x:c>
      <x:c r="I3" t="str">
        <x:v>Semua</x:v>
      </x:c>
      <x:c r="J3" t="str">
        <x:v>Initial Setup</x:v>
      </x:c>
      <x:c r="K3" t="str">
        <x:v>Open</x:v>
      </x:c>
      <x:c r="L3" t="str">
        <x:v>TBC</x:v>
      </x:c>
    </x:row>
    <x:row r="4">
      <x:c r="A4" s="20" t="str">
        <x:v>PROJECT_NAME</x:v>
      </x:c>
      <x:c r="B4" s="20" t="str">
        <x:v>Rangkaian Rakor Dirut, Raker RKAP 2027, Rapat Konsultasi, Olimpiade Badminton dan Plenary</x:v>
      </x:c>
      <x:c r="D4" t="str">
        <x:v>Sedang Berjalan</x:v>
      </x:c>
      <x:c r="E4" t="str">
        <x:v>High</x:v>
      </x:c>
      <x:c r="F4" t="str">
        <x:v>EO</x:v>
      </x:c>
      <x:c r="G4" t="str">
        <x:v>Terverifikasi</x:v>
      </x:c>
      <x:c r="H4" t="str">
        <x:v>Tidak</x:v>
      </x:c>
      <x:c r="I4" t="str">
        <x:v>A</x:v>
      </x:c>
      <x:c r="J4" t="str">
        <x:v>PIC Update</x:v>
      </x:c>
      <x:c r="K4" t="str">
        <x:v>Monitoring</x:v>
      </x:c>
      <x:c r="L4" t="str">
        <x:v>In Progress</x:v>
      </x:c>
    </x:row>
    <x:row r="5">
      <x:c r="A5" s="20" t="str">
        <x:v>START_DATE</x:v>
      </x:c>
      <x:c r="B5" s="30" t="n">
        <x:v>46244</x:v>
      </x:c>
      <x:c r="D5" t="str">
        <x:v>Menunggu Pihak Lain</x:v>
      </x:c>
      <x:c r="E5" t="str">
        <x:v>Medium</x:v>
      </x:c>
      <x:c r="F5" t="str">
        <x:v>PI Group</x:v>
      </x:c>
      <x:c r="G5" t="str">
        <x:v>Ditolak</x:v>
      </x:c>
      <x:c r="I5" t="str">
        <x:v>B</x:v>
      </x:c>
      <x:c r="J5" t="str">
        <x:v>Admin Update</x:v>
      </x:c>
      <x:c r="K5" t="str">
        <x:v>Resolved</x:v>
      </x:c>
      <x:c r="L5" t="str">
        <x:v>Ready for Handover</x:v>
      </x:c>
    </x:row>
    <x:row r="6">
      <x:c r="A6" s="20" t="str">
        <x:v>END_DATE</x:v>
      </x:c>
      <x:c r="B6" s="30" t="n">
        <x:v>46246</x:v>
      </x:c>
      <x:c r="D6" t="str">
        <x:v>Terkendala</x:v>
      </x:c>
      <x:c r="E6" t="str">
        <x:v>Low</x:v>
      </x:c>
      <x:c r="F6" t="str">
        <x:v>Shared</x:v>
      </x:c>
      <x:c r="G6" t="str">
        <x:v>Tidak Diperlukan</x:v>
      </x:c>
      <x:c r="I6" t="str">
        <x:v>C</x:v>
      </x:c>
      <x:c r="J6" t="str">
        <x:v>Coordination Meeting</x:v>
      </x:c>
      <x:c r="K6" t="str">
        <x:v>Closed</x:v>
      </x:c>
      <x:c r="L6" t="str">
        <x:v>Accepted</x:v>
      </x:c>
    </x:row>
    <x:row r="7">
      <x:c r="A7" s="20" t="str">
        <x:v>ACTIVE_SCENARIO</x:v>
      </x:c>
      <x:c r="B7" s="20" t="str">
        <x:v>B</x:v>
      </x:c>
      <x:c r="D7" t="str">
        <x:v>Siap Diverifikasi</x:v>
      </x:c>
      <x:c r="F7" t="str">
        <x:v>TBC</x:v>
      </x:c>
      <x:c r="I7" t="str">
        <x:v>D</x:v>
      </x:c>
      <x:c r="J7" t="str">
        <x:v>EO Update</x:v>
      </x:c>
      <x:c r="L7" t="str">
        <x:v>Rejected</x:v>
      </x:c>
    </x:row>
    <x:row r="8">
      <x:c r="A8" s="20" t="str">
        <x:v>ACTIVE_SCENARIO_LABEL</x:v>
      </x:c>
      <x:c r="B8" s="20" t="str">
        <x:v>Rakor Hari Pertama; Olimpiade Setelah Raker (Working Alternative)</x:v>
      </x:c>
      <x:c r="D8" t="str">
        <x:v>Selesai &amp; Terverifikasi</x:v>
      </x:c>
      <x:c r="J8" t="str">
        <x:v>PI Group Update</x:v>
      </x:c>
    </x:row>
    <x:row r="9">
      <x:c r="A9" s="20" t="str">
        <x:v>TIMEZONE</x:v>
      </x:c>
      <x:c r="B9" s="20" t="str">
        <x:v>Asia/Jakarta</x:v>
      </x:c>
      <x:c r="D9" t="str">
        <x:v>Tidak Berlaku</x:v>
      </x:c>
    </x:row>
    <x:row r="10">
      <x:c r="A10" s="20" t="str">
        <x:v>PUBLIC_REFRESH_SECONDS</x:v>
      </x:c>
      <x:c r="B10" s="33" t="n">
        <x:v>120</x:v>
      </x:c>
    </x:row>
    <x:row r="11">
      <x:c r="A11" s="20" t="str">
        <x:v>PUBLIC_SHEET_URL</x:v>
      </x:c>
      <x:c r="B11" s="20" t="str">
        <x:v>PASTE_GOOGLE_SHEET_URL</x:v>
      </x:c>
    </x:row>
    <x:row r="12">
      <x:c r="A12" s="20" t="str">
        <x:v>DATA_VERSION</x:v>
      </x:c>
      <x:c r="B12" s="20" t="str">
        <x:v>2026.07.26.1</x:v>
      </x:c>
    </x:row>
    <x:row r="13">
      <x:c r="A13" s="20" t="str">
        <x:v>OBSOLETE_DATE_RANGE</x:v>
      </x:c>
      <x:c r="B13" s="20" t="str">
        <x:v>12–14 Agustus 2026</x:v>
      </x:c>
    </x:row>
    <x:row r="14">
      <x:c r="A14" s="20" t="str">
        <x:v>PRIVACY_NOTE</x:v>
      </x:c>
      <x:c r="B14" s="20" t="str">
        <x:v>PWA hanya menampilkan data yang sudah disanitasi; nomor kamar, badge, kontak, dan catatan internal tidak dipublikasikan.</x:v>
      </x:c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0" hidden="0" customWidth="1"/>
    <x:col min="5" max="5" width="24" hidden="0" customWidth="1"/>
    <x:col min="6" max="6" width="35" hidden="0" customWidth="1"/>
    <x:col min="7" max="7" width="35" hidden="0" customWidth="1"/>
    <x:col min="8" max="8" width="30" hidden="0" customWidth="1"/>
    <x:col min="9" max="9" width="24" hidden="0" customWidth="1"/>
    <x:col min="10" max="10" width="24" hidden="0" customWidth="1"/>
  </x:cols>
  <x:sheetData>
    <x:row r="1" ht="30" customHeight="1">
      <x:c r="A1" s="14" t="str">
        <x:v>Timestamp</x:v>
      </x:c>
      <x:c r="B1" s="14" t="str">
        <x:v>Task ID</x:v>
      </x:c>
      <x:c r="C1" s="14" t="str">
        <x:v>Sheet</x:v>
      </x:c>
      <x:c r="D1" s="14" t="str">
        <x:v>Cell</x:v>
      </x:c>
      <x:c r="E1" s="14" t="str">
        <x:v>Field</x:v>
      </x:c>
      <x:c r="F1" s="14" t="str">
        <x:v>Previous Value</x:v>
      </x:c>
      <x:c r="G1" s="14" t="str">
        <x:v>New Value</x:v>
      </x:c>
      <x:c r="H1" s="14" t="str">
        <x:v>Editor Email</x:v>
      </x:c>
      <x:c r="I1" s="14" t="str">
        <x:v>Updated By Field</x:v>
      </x:c>
      <x:c r="J1" s="14" t="str">
        <x:v>Update Source Field</x:v>
      </x:c>
    </x:row>
  </x:sheetData>
  <x:pageMargins left="0.7" right="0.7" top="0.75" bottom="0.75" header="0.3" footer="0.3"/>
</x:worksheet>
</file>